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filterPrivacy="1" codeName="DieseArbeitsmappe" defaultThemeVersion="124226"/>
  <xr:revisionPtr revIDLastSave="0" documentId="13_ncr:1_{4BF7D0C0-18E2-4A1C-9832-EAB0990676C5}" xr6:coauthVersionLast="47" xr6:coauthVersionMax="47" xr10:uidLastSave="{00000000-0000-0000-0000-000000000000}"/>
  <bookViews>
    <workbookView xWindow="-120" yWindow="-120" windowWidth="29040" windowHeight="15840" tabRatio="521" xr2:uid="{00000000-000D-0000-FFFF-FFFF00000000}"/>
  </bookViews>
  <sheets>
    <sheet name="VBS" sheetId="1" r:id="rId1"/>
  </sheets>
  <functionGroups builtInGroupCount="19"/>
  <definedNames>
    <definedName name="rng_BAS_List">VBS!$H$10</definedName>
    <definedName name="rng_BAS_MAIN">VBS!$J$11</definedName>
    <definedName name="rng_BAS_MAIN_List">VBS!$F$10</definedName>
    <definedName name="rng_BAS_SUBCODE">VBS!$J$12</definedName>
    <definedName name="rng_CompiledVbsName">VBS!$J$4</definedName>
    <definedName name="rng_CompiledVbsPath">VBS!$J$5</definedName>
    <definedName name="rng_VBASearch">VBS!$B$10</definedName>
    <definedName name="rng3_FileNa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1" l="1"/>
  <c r="F34" i="1" l="1"/>
  <c r="F33" i="1" l="1"/>
  <c r="F32" i="1"/>
  <c r="F31" i="1" l="1"/>
  <c r="F30" i="1" l="1"/>
  <c r="F29" i="1" l="1"/>
  <c r="F28" i="1" l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J8" i="1"/>
  <c r="J22" i="1" l="1"/>
  <c r="J12" i="1"/>
  <c r="J16" i="1"/>
  <c r="J13" i="1"/>
  <c r="J17" i="1"/>
  <c r="J14" i="1"/>
  <c r="J15" i="1"/>
  <c r="J7" i="1"/>
  <c r="J4" i="1"/>
  <c r="J24" i="1"/>
  <c r="J19" i="1"/>
  <c r="J23" i="1"/>
  <c r="J11" i="1"/>
  <c r="J21" i="1"/>
  <c r="J20" i="1"/>
  <c r="J5" i="1"/>
  <c r="J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Y5" authorId="0" shapeId="0" xr:uid="{F828CFD7-4F51-4894-9C53-D69554C2A13A}">
      <text>
        <r>
          <rPr>
            <b/>
            <sz val="10"/>
            <color indexed="81"/>
            <rFont val="Tahoma"/>
            <family val="2"/>
          </rPr>
          <t>Author:</t>
        </r>
        <r>
          <rPr>
            <sz val="10"/>
            <color indexed="81"/>
            <rFont val="Tahoma"/>
            <family val="2"/>
          </rPr>
          <t xml:space="preserve">
C:\W_Drive\PDM_SAP_CONNECTOR\001_WEBSITE\vbs</t>
        </r>
      </text>
    </comment>
    <comment ref="Z5" authorId="0" shapeId="0" xr:uid="{78BEC3A6-2B4B-48AE-94C6-B8009AC94D61}">
      <text>
        <r>
          <rPr>
            <b/>
            <sz val="10"/>
            <color indexed="81"/>
            <rFont val="Tahoma"/>
            <family val="2"/>
          </rPr>
          <t>Author:</t>
        </r>
        <r>
          <rPr>
            <sz val="10"/>
            <color indexed="81"/>
            <rFont val="Tahoma"/>
            <family val="2"/>
          </rPr>
          <t xml:space="preserve">
C:\W_Drive\PDM_SAP_CONNECTOR\001_WEBSITE\vbs</t>
        </r>
      </text>
    </comment>
  </commentList>
</comments>
</file>

<file path=xl/sharedStrings.xml><?xml version="1.0" encoding="utf-8"?>
<sst xmlns="http://schemas.openxmlformats.org/spreadsheetml/2006/main" count="309" uniqueCount="167">
  <si>
    <t>\bnext[ ][A-Z]+</t>
  </si>
  <si>
    <t>next</t>
  </si>
  <si>
    <t>Save Path:</t>
  </si>
  <si>
    <t>VBS Integrated Development Environment</t>
  </si>
  <si>
    <t>Vba Search</t>
  </si>
  <si>
    <t>vbs Replace</t>
  </si>
  <si>
    <t>List VBS Modules</t>
  </si>
  <si>
    <t>VBS90_Lib_FileUtilities</t>
  </si>
  <si>
    <t>VBS Compilation Script:</t>
  </si>
  <si>
    <t>Sub VBSMAIN() 'VBA ONLY</t>
  </si>
  <si>
    <t>'Sub VBSMAIN() 'VBA ONLY</t>
  </si>
  <si>
    <t>End Sub 'VBA ONLY</t>
  </si>
  <si>
    <t>'End Sub 'VBA ONLY</t>
  </si>
  <si>
    <t>'VBS ONLY</t>
  </si>
  <si>
    <t>RE</t>
  </si>
  <si>
    <t>Debug.Print</t>
  </si>
  <si>
    <t>'Debug.Print</t>
  </si>
  <si>
    <t>List VBS_MAIN Modules</t>
  </si>
  <si>
    <t>VBS Compilation Choice:</t>
  </si>
  <si>
    <t>VBS90_FileUtilities</t>
  </si>
  <si>
    <t>VBS06_Conversion_Functions</t>
  </si>
  <si>
    <t>VBS02_TAG_Functions</t>
  </si>
  <si>
    <t>VBS91_RegularExpressions</t>
  </si>
  <si>
    <t>VBS04_DB_Access</t>
  </si>
  <si>
    <t>VBS05_XML_Functions</t>
  </si>
  <si>
    <t>Main_VBS_STAMP_Remove</t>
  </si>
  <si>
    <t>VBS01_Stamp_Functions</t>
  </si>
  <si>
    <t>Main_VBS_TAG_Remove</t>
  </si>
  <si>
    <r>
      <rPr>
        <b/>
        <sz val="14"/>
        <color theme="6" tint="-0.249977111117893"/>
        <rFont val="Calibri"/>
        <family val="2"/>
        <scheme val="minor"/>
      </rPr>
      <t>RENAME</t>
    </r>
    <r>
      <rPr>
        <sz val="11"/>
        <color theme="1"/>
        <rFont val="Calibri"/>
        <family val="2"/>
        <scheme val="minor"/>
      </rPr>
      <t xml:space="preserve">
This VBS creates TAGS based on Default system XML contents and uses the NV to Query the MATNR</t>
    </r>
  </si>
  <si>
    <r>
      <rPr>
        <b/>
        <sz val="14"/>
        <color rgb="FFFF0000"/>
        <rFont val="Calibri"/>
        <family val="2"/>
        <scheme val="minor"/>
      </rPr>
      <t>TAGS 1</t>
    </r>
    <r>
      <rPr>
        <sz val="11"/>
        <color theme="1"/>
        <rFont val="Calibri"/>
        <family val="2"/>
        <scheme val="minor"/>
      </rPr>
      <t xml:space="preserve">
XML-LMD
XML-LocalDescription
NV - DB</t>
    </r>
  </si>
  <si>
    <r>
      <rPr>
        <b/>
        <sz val="14"/>
        <color rgb="FFFF0000"/>
        <rFont val="Calibri"/>
        <family val="2"/>
        <scheme val="minor"/>
      </rPr>
      <t>TAGS 2</t>
    </r>
    <r>
      <rPr>
        <sz val="11"/>
        <color theme="1"/>
        <rFont val="Calibri"/>
        <family val="2"/>
        <scheme val="minor"/>
      </rPr>
      <t xml:space="preserve">
XML-AD
XML-LocalDescription
NV - DB</t>
    </r>
  </si>
  <si>
    <r>
      <rPr>
        <b/>
        <sz val="14"/>
        <color rgb="FFFF0000"/>
        <rFont val="Calibri"/>
        <family val="2"/>
        <scheme val="minor"/>
      </rPr>
      <t>TAGS 3</t>
    </r>
    <r>
      <rPr>
        <sz val="11"/>
        <color theme="1"/>
        <rFont val="Calibri"/>
        <family val="2"/>
        <scheme val="minor"/>
      </rPr>
      <t xml:space="preserve"> 
Removes TAGs 
DATE =""
TITLE =""</t>
    </r>
  </si>
  <si>
    <r>
      <rPr>
        <b/>
        <sz val="14"/>
        <color rgb="FFFF0000"/>
        <rFont val="Calibri"/>
        <family val="2"/>
        <scheme val="minor"/>
      </rPr>
      <t>STAMPS 1</t>
    </r>
    <r>
      <rPr>
        <sz val="11"/>
        <color theme="1"/>
        <rFont val="Calibri"/>
        <family val="2"/>
        <scheme val="minor"/>
      </rPr>
      <t xml:space="preserve"> 
Removes the STAMP
STAMP=""</t>
    </r>
  </si>
  <si>
    <r>
      <rPr>
        <b/>
        <sz val="14"/>
        <color rgb="FFFF0000"/>
        <rFont val="Calibri"/>
        <family val="2"/>
        <scheme val="minor"/>
      </rPr>
      <t>STAMPS 4</t>
    </r>
    <r>
      <rPr>
        <sz val="11"/>
        <color theme="1"/>
        <rFont val="Calibri"/>
        <family val="2"/>
        <scheme val="minor"/>
      </rPr>
      <t xml:space="preserve">
filename.pdf</t>
    </r>
  </si>
  <si>
    <t>Main_VBS_TAG_XML_NV</t>
  </si>
  <si>
    <t>VBS00_PDF_Create_Title_Tag</t>
  </si>
  <si>
    <t>Main_VBS_STAMP_fileName</t>
  </si>
  <si>
    <t>Main_VBS_TAG_XML_XMLUser</t>
  </si>
  <si>
    <t>Main_VBS_STAMP_Title_XML_LMD</t>
  </si>
  <si>
    <t>Main_VBS_STAMP_Title_XML_AD</t>
  </si>
  <si>
    <r>
      <rPr>
        <b/>
        <sz val="14"/>
        <color rgb="FFFF0000"/>
        <rFont val="Calibri"/>
        <family val="2"/>
        <scheme val="minor"/>
      </rPr>
      <t>STAMPS 3</t>
    </r>
    <r>
      <rPr>
        <sz val="11"/>
        <color theme="1"/>
        <rFont val="Calibri"/>
        <family val="2"/>
        <scheme val="minor"/>
      </rPr>
      <t xml:space="preserve">
XML-LMD
XML-LocalDescription
NV - DB</t>
    </r>
  </si>
  <si>
    <r>
      <rPr>
        <b/>
        <sz val="14"/>
        <color rgb="FFFF0000"/>
        <rFont val="Calibri"/>
        <family val="2"/>
        <scheme val="minor"/>
      </rPr>
      <t>STAMPS 2</t>
    </r>
    <r>
      <rPr>
        <sz val="11"/>
        <color theme="1"/>
        <rFont val="Calibri"/>
        <family val="2"/>
        <scheme val="minor"/>
      </rPr>
      <t xml:space="preserve"> 
XML-AD
XML-LocalDescription
NV - DB</t>
    </r>
  </si>
  <si>
    <t>MAIN_VBS_STAMP_TitleTag</t>
  </si>
  <si>
    <t>STAMP_1_Remove.vbs</t>
  </si>
  <si>
    <t>STAMP_2_FileName.vbs</t>
  </si>
  <si>
    <r>
      <rPr>
        <b/>
        <sz val="14"/>
        <color rgb="FFFF0000"/>
        <rFont val="Calibri"/>
        <family val="2"/>
        <scheme val="minor"/>
      </rPr>
      <t>STAMPS 6</t>
    </r>
    <r>
      <rPr>
        <sz val="11"/>
        <color theme="1"/>
        <rFont val="Calibri"/>
        <family val="2"/>
        <scheme val="minor"/>
      </rPr>
      <t xml:space="preserve">
No Date</t>
    </r>
  </si>
  <si>
    <t>MAIN_VBS_STAMP_MATNR</t>
  </si>
  <si>
    <t>STAMP_3_TitleTag.vbs</t>
  </si>
  <si>
    <r>
      <rPr>
        <b/>
        <sz val="14"/>
        <color rgb="FFFF0000"/>
        <rFont val="Calibri"/>
        <family val="2"/>
        <scheme val="minor"/>
      </rPr>
      <t>STAMPS 5</t>
    </r>
    <r>
      <rPr>
        <sz val="11"/>
        <color theme="1"/>
        <rFont val="Calibri"/>
        <family val="2"/>
        <scheme val="minor"/>
      </rPr>
      <t xml:space="preserve">
[title].pdf</t>
    </r>
  </si>
  <si>
    <t>STAMP_4_MATNR.vbs</t>
  </si>
  <si>
    <t>VBS01_Stamp_Text_Creation</t>
  </si>
  <si>
    <t>TAG_1_Remove_Title_Date.vbs</t>
  </si>
  <si>
    <t>TAG_2_ProeXML-NV.vbs</t>
  </si>
  <si>
    <t>TAG_3_ProeXML_ProeXML-User.vbs</t>
  </si>
  <si>
    <t>STAMP_5_PROE_Title-XML-LMD.vbs</t>
  </si>
  <si>
    <t>STAMP_6_PROE_Title-XML-AD.vbs</t>
  </si>
  <si>
    <t>RENAME_1_File_Title.vbs</t>
  </si>
  <si>
    <t>Main_VBS_RENAME_Title</t>
  </si>
  <si>
    <t>\\Wsch00102\feller\SYMPHONY_Download\001_PDF_Tools</t>
  </si>
  <si>
    <t>PDF_Execute_Command.vbs</t>
  </si>
  <si>
    <t>Main_PDF_Execute_Command</t>
  </si>
  <si>
    <r>
      <rPr>
        <b/>
        <sz val="14"/>
        <color rgb="FFFF00FF"/>
        <rFont val="Calibri"/>
        <family val="2"/>
        <scheme val="minor"/>
      </rPr>
      <t>EXECUTE from PHP</t>
    </r>
    <r>
      <rPr>
        <sz val="11"/>
        <color theme="1"/>
        <rFont val="Calibri"/>
        <family val="2"/>
        <scheme val="minor"/>
      </rPr>
      <t xml:space="preserve">
The Main Control Program called by PHP</t>
    </r>
  </si>
  <si>
    <t>Program Name:</t>
  </si>
  <si>
    <t>Path:</t>
  </si>
  <si>
    <t>Main()</t>
  </si>
  <si>
    <t>Description:</t>
  </si>
  <si>
    <t>ExecuteFreeOfficeResource.vbs</t>
  </si>
  <si>
    <r>
      <rPr>
        <b/>
        <sz val="14"/>
        <color rgb="FFFFFF00"/>
        <rFont val="Calibri"/>
        <family val="2"/>
        <scheme val="minor"/>
      </rPr>
      <t>EXECUTE Free Resources</t>
    </r>
    <r>
      <rPr>
        <sz val="11"/>
        <color theme="1"/>
        <rFont val="Calibri"/>
        <family val="2"/>
        <scheme val="minor"/>
      </rPr>
      <t xml:space="preserve">
The Main program to manage execution of Office Programs</t>
    </r>
  </si>
  <si>
    <t>Main_VBS_ExecuteFree</t>
  </si>
  <si>
    <r>
      <rPr>
        <b/>
        <sz val="14"/>
        <color rgb="FFFFFF00"/>
        <rFont val="Calibri"/>
        <family val="2"/>
        <scheme val="minor"/>
      </rPr>
      <t>EXECUTE Move Completed</t>
    </r>
    <r>
      <rPr>
        <sz val="11"/>
        <color theme="1"/>
        <rFont val="Calibri"/>
        <family val="2"/>
        <scheme val="minor"/>
      </rPr>
      <t xml:space="preserve">
When user validates all BOM and PDF auto move</t>
    </r>
  </si>
  <si>
    <t>VBS92_CAX_SHELL</t>
  </si>
  <si>
    <t>Symphony_Sap_Cockpit.vbs</t>
  </si>
  <si>
    <t>COCKPIT</t>
  </si>
  <si>
    <r>
      <rPr>
        <b/>
        <sz val="14"/>
        <color rgb="FFFFFF00"/>
        <rFont val="Calibri"/>
        <family val="2"/>
        <scheme val="minor"/>
      </rPr>
      <t>EXECUTE Generate WEB Cockpit</t>
    </r>
    <r>
      <rPr>
        <sz val="11"/>
        <color theme="1"/>
        <rFont val="Calibri"/>
        <family val="2"/>
        <scheme val="minor"/>
      </rPr>
      <t xml:space="preserve">
Main Web page for user</t>
    </r>
  </si>
  <si>
    <t>VBS20_Get_System</t>
  </si>
  <si>
    <t>Main_VBS_Cockpit</t>
  </si>
  <si>
    <t>VBS50_Create_HTML</t>
  </si>
  <si>
    <t>VBS52_Make_Folders_Lists</t>
  </si>
  <si>
    <t>VBS93_Office_Shell</t>
  </si>
  <si>
    <r>
      <rPr>
        <b/>
        <sz val="14"/>
        <color rgb="FFFFFF00"/>
        <rFont val="Calibri"/>
        <family val="2"/>
        <scheme val="minor"/>
      </rPr>
      <t>EXECUTE Uzip</t>
    </r>
    <r>
      <rPr>
        <sz val="11"/>
        <color theme="1"/>
        <rFont val="Calibri"/>
        <family val="2"/>
        <scheme val="minor"/>
      </rPr>
      <t xml:space="preserve">
Main Web page for user</t>
    </r>
  </si>
  <si>
    <t>UNZIP_drag_drop.vbs</t>
  </si>
  <si>
    <t>Main_VBS_Batch_NV_WEB</t>
  </si>
  <si>
    <t>VBS94_OS</t>
  </si>
  <si>
    <t>VBS94_Messagebox</t>
  </si>
  <si>
    <t>Attribute</t>
  </si>
  <si>
    <t>'Attribute</t>
  </si>
  <si>
    <t>ApplicationNoteExtraction.vbs</t>
  </si>
  <si>
    <r>
      <rPr>
        <b/>
        <sz val="14"/>
        <color rgb="FFFFFF00"/>
        <rFont val="Calibri"/>
        <family val="2"/>
        <scheme val="minor"/>
      </rPr>
      <t>AN Extraction</t>
    </r>
    <r>
      <rPr>
        <sz val="11"/>
        <color theme="1"/>
        <rFont val="Calibri"/>
        <family val="2"/>
        <scheme val="minor"/>
      </rPr>
      <t xml:space="preserve">
Main Web page for user</t>
    </r>
  </si>
  <si>
    <t>Main_UNZIP_drag_drop</t>
  </si>
  <si>
    <t>Main_AN_Tool</t>
  </si>
  <si>
    <t>Main_VBS_UnzipRegenMove</t>
  </si>
  <si>
    <t>MoveUnzipRegenMoveExport.vbs</t>
  </si>
  <si>
    <t>VBS51_Make_Header_HTML</t>
  </si>
  <si>
    <t>VBS50_Create_HTML_NG</t>
  </si>
  <si>
    <t>VBS50_Create_HTML_Forms_NG</t>
  </si>
  <si>
    <r>
      <rPr>
        <b/>
        <sz val="14"/>
        <color rgb="FFFFFF00"/>
        <rFont val="Calibri"/>
        <family val="2"/>
        <scheme val="minor"/>
      </rPr>
      <t>PDF Compare HPGL to Archiv</t>
    </r>
    <r>
      <rPr>
        <sz val="11"/>
        <color theme="1"/>
        <rFont val="Calibri"/>
        <family val="2"/>
        <scheme val="minor"/>
      </rPr>
      <t xml:space="preserve">
Main Web page for user</t>
    </r>
  </si>
  <si>
    <t>Main_HPGL_Archiv_Compare</t>
  </si>
  <si>
    <t>VBS50_Create_HTML_Delete</t>
  </si>
  <si>
    <t>CheckPDF.vbs</t>
  </si>
  <si>
    <t>Main_VBS_Cockpit_x</t>
  </si>
  <si>
    <t>CheckPDFauto.vbs</t>
  </si>
  <si>
    <t>Main_HPGL</t>
  </si>
  <si>
    <t>X:\SYMPHONY_Download\001_PDF_Tools</t>
  </si>
  <si>
    <t>X:\SYMPHONY_Download\001_WEBSITE\OneClickTools</t>
  </si>
  <si>
    <t>X:\SYMPHONY_Download\001_AN_Tools</t>
  </si>
  <si>
    <t>W:\SYM_WINCHILL_Download\001_Unzip_Tools</t>
  </si>
  <si>
    <r>
      <rPr>
        <b/>
        <sz val="14"/>
        <color rgb="FFFFFF00"/>
        <rFont val="Calibri"/>
        <family val="2"/>
        <scheme val="minor"/>
      </rPr>
      <t>Rename ZIP with SESA NUMBER</t>
    </r>
    <r>
      <rPr>
        <sz val="11"/>
        <color theme="1"/>
        <rFont val="Calibri"/>
        <family val="2"/>
        <scheme val="minor"/>
      </rPr>
      <t xml:space="preserve">
sesa used to identify user</t>
    </r>
  </si>
  <si>
    <t>Main_VBS_RENAME_ZIP_append_SESA</t>
  </si>
  <si>
    <t>VBS95_EMAIL_OUTLOOK</t>
  </si>
  <si>
    <t>RENAME_ZIP_append_SESA.vbs</t>
  </si>
  <si>
    <t>W:\SYM_WINCHILL_Download\002_ToolsPdf\001_PDF_Tools</t>
  </si>
  <si>
    <t>VBS93_WSCRIPT_QUERY</t>
  </si>
  <si>
    <t>VBS91_Dialogboxes</t>
  </si>
  <si>
    <t>VBS_SQLite</t>
  </si>
  <si>
    <t>Main_VBS_ServerHealth</t>
  </si>
  <si>
    <r>
      <rPr>
        <b/>
        <sz val="14"/>
        <color rgb="FFFFFF00"/>
        <rFont val="Calibri"/>
        <family val="2"/>
        <scheme val="minor"/>
      </rPr>
      <t>List Server Processes</t>
    </r>
    <r>
      <rPr>
        <sz val="11"/>
        <color theme="1"/>
        <rFont val="Calibri"/>
        <family val="2"/>
        <scheme val="minor"/>
      </rPr>
      <t xml:space="preserve">
…………</t>
    </r>
  </si>
  <si>
    <t>server_Processes_List.vbs</t>
  </si>
  <si>
    <t>W:\SYM_WINCHILL_Download\011_Server</t>
  </si>
  <si>
    <r>
      <rPr>
        <b/>
        <sz val="14"/>
        <color rgb="FFFFFF00"/>
        <rFont val="Calibri"/>
        <family val="2"/>
        <scheme val="minor"/>
      </rPr>
      <t>Intranet Query</t>
    </r>
    <r>
      <rPr>
        <sz val="11"/>
        <color theme="1"/>
        <rFont val="Calibri"/>
        <family val="2"/>
        <scheme val="minor"/>
      </rPr>
      <t xml:space="preserve">
…………</t>
    </r>
  </si>
  <si>
    <t>VBS93_Stampling</t>
  </si>
  <si>
    <t>VBS96_WebServiceGetDocument</t>
  </si>
  <si>
    <t>VBS94_SAP_Numernverziechnis</t>
  </si>
  <si>
    <t>SuchfunktionFeller.vbs</t>
  </si>
  <si>
    <t>Main_VBS_SuchfunktionFeller</t>
  </si>
  <si>
    <t>VBS90_FileSearches</t>
  </si>
  <si>
    <t>VBS96_Replicate_LSMW_Feller_ZBC</t>
  </si>
  <si>
    <t>X:\SYMPHONY_Apps\002_FellerSapDocSearch\vbs</t>
  </si>
  <si>
    <t>VBS93_Stampling1</t>
  </si>
  <si>
    <t>VBS_PIM_Get_Stamped_PDF</t>
  </si>
  <si>
    <t>GetPdm_PDF_Stamped.vbs</t>
  </si>
  <si>
    <t>Main_VBS_Get_PDM_PDF_Stamped</t>
  </si>
  <si>
    <t>VBS_PIM_Get_Stamped_PDF2</t>
  </si>
  <si>
    <t>W:\SYM_WINCHILL_Download\002_ToolsPdf\PDF_PDM_STAMP</t>
  </si>
  <si>
    <t>Used for hta document search. Saves pdf in SESA?????? Folder</t>
  </si>
  <si>
    <t>Used for  PHP document search, saves pdf in php session based folder</t>
  </si>
  <si>
    <t>Main_VBS_Get_PDM_PDF_Stamped3</t>
  </si>
  <si>
    <t>VBS_PIM_Get_Stamped_PDF3</t>
  </si>
  <si>
    <t>Main_VBS_Get_PDM_BOM</t>
  </si>
  <si>
    <t>W:\SYM_WINCHILL_Download\002_Webservices</t>
  </si>
  <si>
    <t>Used for  PHP Query Symphony Document</t>
  </si>
  <si>
    <t>VBS99</t>
  </si>
  <si>
    <t>VBS_Webservice_Get_pdf</t>
  </si>
  <si>
    <t>VBS_Webservice_GetBom</t>
  </si>
  <si>
    <t>VBS_Webservice_GetBom_include</t>
  </si>
  <si>
    <t>VBS_Webservice_PIM_1</t>
  </si>
  <si>
    <t>VBS_Webservice_PIM_2</t>
  </si>
  <si>
    <t>As String</t>
  </si>
  <si>
    <t>'As String</t>
  </si>
  <si>
    <t>As Variant</t>
  </si>
  <si>
    <t>'As Variant</t>
  </si>
  <si>
    <t>VBS94_Web_PIM_Crack</t>
  </si>
  <si>
    <t>GetPdm_BOM.vbs</t>
  </si>
  <si>
    <t>W:\SYM_WINCHILL_Download\002_ToolsPdf\PDF_HPGL_ARCHIV</t>
  </si>
  <si>
    <t>Main_VBS_UpdateNV</t>
  </si>
  <si>
    <t>PIM_Get_Stamped_PDF1</t>
  </si>
  <si>
    <t>PIM_SYMPHONY_Query_BOM</t>
  </si>
  <si>
    <t>PIM_Get_ValidationDate</t>
  </si>
  <si>
    <t>PIM_SYMPHONY_Queries</t>
  </si>
  <si>
    <t>PIM_CreatePIM</t>
  </si>
  <si>
    <t>PIM_CreateURL</t>
  </si>
  <si>
    <t>GetPdm_PDF_Stamped3.vbs</t>
  </si>
  <si>
    <t>VBS50_Cockpit_Utilities</t>
  </si>
  <si>
    <t>VBS96_WebServiceAE</t>
  </si>
  <si>
    <t>SR</t>
  </si>
  <si>
    <t>C:\W_Drive\PDM_SAP_CONNECTOR\001_WEBSITE\vbs</t>
  </si>
  <si>
    <t>AMAZON</t>
  </si>
  <si>
    <t>C:\W_Drive\SYM_WINCHILL_Download\001_Unzip_Tools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</si>
</sst>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6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7.7"/>
      <color theme="10"/>
      <name val="Calibri"/>
      <family val="2"/>
    </font>
    <font>
      <b/>
      <sz val="14"/>
      <color rgb="FFFF00FF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8"/>
      <color rgb="FFFFFF00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99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2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0" fillId="0" borderId="0" xfId="0" quotePrefix="1"/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3" borderId="1" xfId="0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" fillId="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vertical="center"/>
    </xf>
    <xf numFmtId="0" fontId="0" fillId="6" borderId="1" xfId="0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0" fontId="0" fillId="9" borderId="1" xfId="0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horizontal="right" vertical="center"/>
    </xf>
    <xf numFmtId="0" fontId="5" fillId="10" borderId="0" xfId="0" applyFont="1" applyFill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11" borderId="1" xfId="0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1" fillId="0" borderId="5" xfId="0" applyFont="1" applyFill="1" applyBorder="1"/>
    <xf numFmtId="0" fontId="6" fillId="2" borderId="0" xfId="1" applyFill="1" applyAlignment="1" applyProtection="1">
      <alignment horizontal="left" vertical="center"/>
    </xf>
    <xf numFmtId="0" fontId="0" fillId="12" borderId="1" xfId="0" applyFill="1" applyBorder="1" applyAlignment="1">
      <alignment horizontal="left" vertical="top" wrapText="1"/>
    </xf>
    <xf numFmtId="0" fontId="2" fillId="3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8" fillId="0" borderId="1" xfId="0" applyFont="1" applyBorder="1" applyAlignment="1">
      <alignment vertical="center" wrapText="1"/>
    </xf>
    <xf numFmtId="0" fontId="0" fillId="13" borderId="1" xfId="0" applyFill="1" applyBorder="1" applyAlignment="1">
      <alignment horizontal="left" vertical="top" wrapText="1"/>
    </xf>
    <xf numFmtId="0" fontId="0" fillId="14" borderId="1" xfId="0" applyFill="1" applyBorder="1" applyAlignment="1">
      <alignment horizontal="left" vertical="top" wrapText="1"/>
    </xf>
    <xf numFmtId="0" fontId="1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0" fillId="0" borderId="0" xfId="0"/>
    <xf numFmtId="0" fontId="0" fillId="7" borderId="1" xfId="0" applyFill="1" applyBorder="1" applyAlignment="1">
      <alignment horizontal="left" vertical="top" wrapText="1"/>
    </xf>
    <xf numFmtId="0" fontId="0" fillId="7" borderId="0" xfId="0" applyFill="1" applyBorder="1" applyAlignment="1">
      <alignment vertical="center"/>
    </xf>
    <xf numFmtId="0" fontId="0" fillId="7" borderId="0" xfId="0" applyFill="1" applyAlignment="1">
      <alignment vertical="top"/>
    </xf>
    <xf numFmtId="0" fontId="0" fillId="7" borderId="0" xfId="0" applyFill="1"/>
    <xf numFmtId="0" fontId="10" fillId="7" borderId="0" xfId="0" applyFont="1" applyFill="1" applyAlignment="1">
      <alignment vertical="top"/>
    </xf>
    <xf numFmtId="0" fontId="2" fillId="7" borderId="0" xfId="0" applyFont="1" applyFill="1" applyAlignment="1">
      <alignment vertical="top"/>
    </xf>
    <xf numFmtId="0" fontId="11" fillId="15" borderId="0" xfId="0" applyFont="1" applyFill="1" applyAlignment="1">
      <alignment vertical="top"/>
    </xf>
    <xf numFmtId="0" fontId="0" fillId="15" borderId="0" xfId="0" applyFill="1" applyAlignment="1">
      <alignment vertical="top"/>
    </xf>
    <xf numFmtId="0" fontId="5" fillId="15" borderId="0" xfId="0" applyFont="1" applyFill="1" applyAlignment="1">
      <alignment horizontal="right" vertical="center"/>
    </xf>
    <xf numFmtId="0" fontId="0" fillId="15" borderId="0" xfId="0" applyFill="1" applyAlignment="1">
      <alignment horizontal="right" vertical="center"/>
    </xf>
    <xf numFmtId="0" fontId="0" fillId="15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4"/>
      <tableStyleElement type="headerRow" dxfId="13"/>
    </tableStyle>
  </tableStyles>
  <colors>
    <mruColors>
      <color rgb="FFFF99CC"/>
      <color rgb="FFFF00FF"/>
      <color rgb="FFFFFFCC"/>
      <color rgb="FFFF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0" dropStyle="combo" dx="20" fmlaLink="$H$8" fmlaRange="$F$12:$F$40" noThreeD="1" sel="14" val="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1520133</xdr:colOff>
      <xdr:row>0</xdr:row>
      <xdr:rowOff>39054</xdr:rowOff>
    </xdr:from>
    <xdr:to>
      <xdr:col>9</xdr:col>
      <xdr:colOff>2683440</xdr:colOff>
      <xdr:row>0</xdr:row>
      <xdr:rowOff>304800</xdr:rowOff>
    </xdr:to>
    <xdr:sp macro="" textlink="">
      <xdr:nvSpPr>
        <xdr:cNvPr id="9" name="Rechteckige Legend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331624" y="39054"/>
          <a:ext cx="1163307" cy="265746"/>
        </a:xfrm>
        <a:prstGeom prst="wedgeRectCallout">
          <a:avLst>
            <a:gd name="adj1" fmla="val -17464"/>
            <a:gd name="adj2" fmla="val 147347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BEWARE </a:t>
          </a:r>
        </a:p>
      </xdr:txBody>
    </xdr:sp>
    <xdr:clientData/>
  </xdr:twoCellAnchor>
  <xdr:twoCellAnchor>
    <xdr:from>
      <xdr:col>9</xdr:col>
      <xdr:colOff>2834244</xdr:colOff>
      <xdr:row>0</xdr:row>
      <xdr:rowOff>71252</xdr:rowOff>
    </xdr:from>
    <xdr:to>
      <xdr:col>9</xdr:col>
      <xdr:colOff>3603172</xdr:colOff>
      <xdr:row>0</xdr:row>
      <xdr:rowOff>370114</xdr:rowOff>
    </xdr:to>
    <xdr:sp macro="" textlink="">
      <xdr:nvSpPr>
        <xdr:cNvPr id="8" name="Rechteckige Legend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875815" y="71252"/>
          <a:ext cx="768928" cy="298862"/>
        </a:xfrm>
        <a:prstGeom prst="wedgeRectCallout">
          <a:avLst>
            <a:gd name="adj1" fmla="val -18137"/>
            <a:gd name="adj2" fmla="val 292491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VBSLive</a:t>
          </a:r>
          <a:r>
            <a:rPr lang="en-US" sz="1100" baseline="0"/>
            <a:t> Script </a:t>
          </a:r>
          <a:endParaRPr lang="en-US" sz="1100"/>
        </a:p>
      </xdr:txBody>
    </xdr:sp>
    <xdr:clientData/>
  </xdr:twoCellAnchor>
  <xdr:twoCellAnchor>
    <xdr:from>
      <xdr:col>7</xdr:col>
      <xdr:colOff>21771</xdr:colOff>
      <xdr:row>8</xdr:row>
      <xdr:rowOff>630147</xdr:rowOff>
    </xdr:from>
    <xdr:to>
      <xdr:col>7</xdr:col>
      <xdr:colOff>1286691</xdr:colOff>
      <xdr:row>8</xdr:row>
      <xdr:rowOff>919707</xdr:rowOff>
    </xdr:to>
    <xdr:sp macro="[0]!INCLUDE_FILES_LIST" textlink="">
      <xdr:nvSpPr>
        <xdr:cNvPr id="3" name="Rechteck: abgeschräg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94314" y="3776118"/>
          <a:ext cx="1264920" cy="289560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list VBA Files()</a:t>
          </a:r>
        </a:p>
      </xdr:txBody>
    </xdr:sp>
    <xdr:clientData/>
  </xdr:twoCellAnchor>
  <xdr:twoCellAnchor>
    <xdr:from>
      <xdr:col>5</xdr:col>
      <xdr:colOff>1690552</xdr:colOff>
      <xdr:row>1</xdr:row>
      <xdr:rowOff>20547</xdr:rowOff>
    </xdr:from>
    <xdr:to>
      <xdr:col>7</xdr:col>
      <xdr:colOff>21438</xdr:colOff>
      <xdr:row>1</xdr:row>
      <xdr:rowOff>272547</xdr:rowOff>
    </xdr:to>
    <xdr:sp macro="[0]!INCLUDE_VBA_FILES_EXPORT" textlink="">
      <xdr:nvSpPr>
        <xdr:cNvPr id="4" name="Rechteck: abgeschräg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10295" y="521290"/>
          <a:ext cx="1368000" cy="252000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Compile VBS Files()</a:t>
          </a:r>
        </a:p>
      </xdr:txBody>
    </xdr:sp>
    <xdr:clientData/>
  </xdr:twoCellAnchor>
  <xdr:twoCellAnchor>
    <xdr:from>
      <xdr:col>9</xdr:col>
      <xdr:colOff>1415526</xdr:colOff>
      <xdr:row>8</xdr:row>
      <xdr:rowOff>708852</xdr:rowOff>
    </xdr:from>
    <xdr:to>
      <xdr:col>9</xdr:col>
      <xdr:colOff>2749026</xdr:colOff>
      <xdr:row>8</xdr:row>
      <xdr:rowOff>950963</xdr:rowOff>
    </xdr:to>
    <xdr:sp macro="" textlink="">
      <xdr:nvSpPr>
        <xdr:cNvPr id="5" name="Rechteckige Legend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92726" y="2374366"/>
          <a:ext cx="1333500" cy="242111"/>
        </a:xfrm>
        <a:prstGeom prst="wedgeRectCallout">
          <a:avLst>
            <a:gd name="adj1" fmla="val 48051"/>
            <a:gd name="adj2" fmla="val 220742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Must be VBS Main</a:t>
          </a:r>
        </a:p>
      </xdr:txBody>
    </xdr:sp>
    <xdr:clientData/>
  </xdr:twoCellAnchor>
  <xdr:twoCellAnchor>
    <xdr:from>
      <xdr:col>7</xdr:col>
      <xdr:colOff>106680</xdr:colOff>
      <xdr:row>1</xdr:row>
      <xdr:rowOff>20547</xdr:rowOff>
    </xdr:from>
    <xdr:to>
      <xdr:col>7</xdr:col>
      <xdr:colOff>1474680</xdr:colOff>
      <xdr:row>1</xdr:row>
      <xdr:rowOff>272547</xdr:rowOff>
    </xdr:to>
    <xdr:sp macro="[0]!RunVBSfromXLS" textlink="">
      <xdr:nvSpPr>
        <xdr:cNvPr id="7" name="Rechteck: abgeschräg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263537" y="521290"/>
          <a:ext cx="1368000" cy="252000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Run Script </a:t>
          </a:r>
          <a:r>
            <a:rPr lang="en-US" sz="1100" baseline="0"/>
            <a:t>VBS</a:t>
          </a:r>
          <a:r>
            <a:rPr lang="en-US" sz="1100"/>
            <a:t>()</a:t>
          </a:r>
        </a:p>
      </xdr:txBody>
    </xdr:sp>
    <xdr:clientData/>
  </xdr:twoCellAnchor>
  <xdr:twoCellAnchor>
    <xdr:from>
      <xdr:col>2</xdr:col>
      <xdr:colOff>339487</xdr:colOff>
      <xdr:row>19</xdr:row>
      <xdr:rowOff>63889</xdr:rowOff>
    </xdr:from>
    <xdr:to>
      <xdr:col>2</xdr:col>
      <xdr:colOff>1685364</xdr:colOff>
      <xdr:row>22</xdr:row>
      <xdr:rowOff>74440</xdr:rowOff>
    </xdr:to>
    <xdr:sp macro="" textlink="">
      <xdr:nvSpPr>
        <xdr:cNvPr id="12" name="Rechteckige Legend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114499" y="3730454"/>
          <a:ext cx="1345877" cy="548433"/>
        </a:xfrm>
        <a:prstGeom prst="wedgeRectCallout">
          <a:avLst>
            <a:gd name="adj1" fmla="val -82619"/>
            <a:gd name="adj2" fmla="val -69395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36000" tIns="0" rIns="0" bIns="0" rtlCol="0" anchor="ctr"/>
        <a:lstStyle/>
        <a:p>
          <a:pPr algn="ctr"/>
          <a:r>
            <a:rPr lang="en-US" sz="1100"/>
            <a:t>Lines with:</a:t>
          </a:r>
        </a:p>
        <a:p>
          <a:pPr algn="ctr"/>
          <a:r>
            <a:rPr lang="en-US" sz="1100"/>
            <a:t>'NOT FOR VBS</a:t>
          </a:r>
        </a:p>
        <a:p>
          <a:pPr algn="ctr"/>
          <a:r>
            <a:rPr lang="en-US" sz="1100"/>
            <a:t>are not compiled</a:t>
          </a:r>
        </a:p>
      </xdr:txBody>
    </xdr:sp>
    <xdr:clientData/>
  </xdr:twoCellAnchor>
  <xdr:twoCellAnchor>
    <xdr:from>
      <xdr:col>5</xdr:col>
      <xdr:colOff>655127</xdr:colOff>
      <xdr:row>37</xdr:row>
      <xdr:rowOff>97652</xdr:rowOff>
    </xdr:from>
    <xdr:to>
      <xdr:col>5</xdr:col>
      <xdr:colOff>1988627</xdr:colOff>
      <xdr:row>39</xdr:row>
      <xdr:rowOff>74598</xdr:rowOff>
    </xdr:to>
    <xdr:sp macro="" textlink="">
      <xdr:nvSpPr>
        <xdr:cNvPr id="10" name="Rechteckige Legend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7186" y="9790740"/>
          <a:ext cx="1333500" cy="290711"/>
        </a:xfrm>
        <a:prstGeom prst="wedgeRectCallout">
          <a:avLst>
            <a:gd name="adj1" fmla="val -22153"/>
            <a:gd name="adj2" fmla="val -158496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Contain Formula</a:t>
          </a:r>
        </a:p>
      </xdr:txBody>
    </xdr:sp>
    <xdr:clientData/>
  </xdr:twoCellAnchor>
  <xdr:twoCellAnchor>
    <xdr:from>
      <xdr:col>9</xdr:col>
      <xdr:colOff>196326</xdr:colOff>
      <xdr:row>25</xdr:row>
      <xdr:rowOff>131909</xdr:rowOff>
    </xdr:from>
    <xdr:to>
      <xdr:col>9</xdr:col>
      <xdr:colOff>1529826</xdr:colOff>
      <xdr:row>28</xdr:row>
      <xdr:rowOff>10886</xdr:rowOff>
    </xdr:to>
    <xdr:sp macro="" textlink="">
      <xdr:nvSpPr>
        <xdr:cNvPr id="11" name="Rechteckige Legend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237897" y="7479766"/>
          <a:ext cx="1333500" cy="401491"/>
        </a:xfrm>
        <a:prstGeom prst="wedgeRectCallout">
          <a:avLst>
            <a:gd name="adj1" fmla="val -22969"/>
            <a:gd name="adj2" fmla="val -215386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Contain Formula</a:t>
          </a:r>
        </a:p>
      </xdr:txBody>
    </xdr:sp>
    <xdr:clientData/>
  </xdr:twoCellAnchor>
  <xdr:twoCellAnchor>
    <xdr:from>
      <xdr:col>7</xdr:col>
      <xdr:colOff>1959429</xdr:colOff>
      <xdr:row>8</xdr:row>
      <xdr:rowOff>641033</xdr:rowOff>
    </xdr:from>
    <xdr:to>
      <xdr:col>9</xdr:col>
      <xdr:colOff>1242828</xdr:colOff>
      <xdr:row>8</xdr:row>
      <xdr:rowOff>947056</xdr:rowOff>
    </xdr:to>
    <xdr:sp macro="[0]!OpenIDE" textlink="">
      <xdr:nvSpPr>
        <xdr:cNvPr id="13" name="Rechteck: abgeschräg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16286" y="4331290"/>
          <a:ext cx="1852428" cy="306023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VBA IDE Editor</a:t>
          </a:r>
        </a:p>
      </xdr:txBody>
    </xdr:sp>
    <xdr:clientData/>
  </xdr:twoCellAnchor>
  <xdr:twoCellAnchor>
    <xdr:from>
      <xdr:col>5</xdr:col>
      <xdr:colOff>54429</xdr:colOff>
      <xdr:row>1</xdr:row>
      <xdr:rowOff>20547</xdr:rowOff>
    </xdr:from>
    <xdr:to>
      <xdr:col>5</xdr:col>
      <xdr:colOff>1422429</xdr:colOff>
      <xdr:row>1</xdr:row>
      <xdr:rowOff>272547</xdr:rowOff>
    </xdr:to>
    <xdr:sp macro="[0]!OpenExplorer" textlink="">
      <xdr:nvSpPr>
        <xdr:cNvPr id="14" name="Rechteck: abgeschräg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74172" y="521290"/>
          <a:ext cx="1368000" cy="252000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Explore Selected Path</a:t>
          </a:r>
        </a:p>
      </xdr:txBody>
    </xdr:sp>
    <xdr:clientData/>
  </xdr:twoCellAnchor>
  <xdr:twoCellAnchor>
    <xdr:from>
      <xdr:col>5</xdr:col>
      <xdr:colOff>10885</xdr:colOff>
      <xdr:row>6</xdr:row>
      <xdr:rowOff>32658</xdr:rowOff>
    </xdr:from>
    <xdr:to>
      <xdr:col>5</xdr:col>
      <xdr:colOff>2514599</xdr:colOff>
      <xdr:row>8</xdr:row>
      <xdr:rowOff>261258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46314" y="2198915"/>
          <a:ext cx="2503714" cy="120831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/>
            <a:t>Code</a:t>
          </a:r>
          <a:r>
            <a:rPr lang="en-US" sz="1800" baseline="0"/>
            <a:t> Directives</a:t>
          </a:r>
        </a:p>
        <a:p>
          <a:pPr algn="ctr"/>
          <a:r>
            <a:rPr lang="en-US" sz="1800"/>
            <a:t>SUFFIX:     'NOT FOR VBS</a:t>
          </a:r>
        </a:p>
        <a:p>
          <a:pPr algn="ctr"/>
          <a:r>
            <a:rPr lang="en-US" sz="1800"/>
            <a:t>PREFIX:</a:t>
          </a:r>
          <a:r>
            <a:rPr lang="en-US" sz="1800" baseline="0"/>
            <a:t>           </a:t>
          </a:r>
          <a:r>
            <a:rPr lang="en-US" sz="1800"/>
            <a:t>'VBS ONLY </a:t>
          </a:r>
        </a:p>
        <a:p>
          <a:pPr algn="ctr"/>
          <a:endParaRPr lang="en-US" sz="1800"/>
        </a:p>
      </xdr:txBody>
    </xdr:sp>
    <xdr:clientData/>
  </xdr:twoCellAnchor>
  <xdr:twoCellAnchor>
    <xdr:from>
      <xdr:col>7</xdr:col>
      <xdr:colOff>1436913</xdr:colOff>
      <xdr:row>1</xdr:row>
      <xdr:rowOff>20547</xdr:rowOff>
    </xdr:from>
    <xdr:to>
      <xdr:col>9</xdr:col>
      <xdr:colOff>235884</xdr:colOff>
      <xdr:row>1</xdr:row>
      <xdr:rowOff>272547</xdr:rowOff>
    </xdr:to>
    <xdr:sp macro="[0]!RunVBSfromXLS" textlink="">
      <xdr:nvSpPr>
        <xdr:cNvPr id="16" name="Rechteck: abgeschräg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93770" y="521290"/>
          <a:ext cx="1368000" cy="252000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Run MAIN() VBA()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190500</xdr:rowOff>
        </xdr:from>
        <xdr:to>
          <xdr:col>9</xdr:col>
          <xdr:colOff>1323975</xdr:colOff>
          <xdr:row>8</xdr:row>
          <xdr:rowOff>152400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26</xdr:col>
      <xdr:colOff>124691</xdr:colOff>
      <xdr:row>14</xdr:row>
      <xdr:rowOff>41564</xdr:rowOff>
    </xdr:from>
    <xdr:to>
      <xdr:col>26</xdr:col>
      <xdr:colOff>2592929</xdr:colOff>
      <xdr:row>20</xdr:row>
      <xdr:rowOff>124690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48800" y="5223164"/>
          <a:ext cx="2468238" cy="1163781"/>
        </a:xfrm>
        <a:prstGeom prst="rect">
          <a:avLst/>
        </a:prstGeom>
      </xdr:spPr>
    </xdr:pic>
    <xdr:clientData/>
  </xdr:twoCellAnchor>
  <xdr:twoCellAnchor>
    <xdr:from>
      <xdr:col>26</xdr:col>
      <xdr:colOff>304800</xdr:colOff>
      <xdr:row>22</xdr:row>
      <xdr:rowOff>83127</xdr:rowOff>
    </xdr:from>
    <xdr:to>
      <xdr:col>26</xdr:col>
      <xdr:colOff>2286000</xdr:colOff>
      <xdr:row>33</xdr:row>
      <xdr:rowOff>55418</xdr:rowOff>
    </xdr:to>
    <xdr:sp macro="" textlink="">
      <xdr:nvSpPr>
        <xdr:cNvPr id="6" name="Abgerundete rechteckige Legend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728909" y="6705600"/>
          <a:ext cx="1981200" cy="1953491"/>
        </a:xfrm>
        <a:prstGeom prst="wedgeRoundRectCallout">
          <a:avLst>
            <a:gd name="adj1" fmla="val -11742"/>
            <a:gd name="adj2" fmla="val -79722"/>
            <a:gd name="adj3" fmla="val 16667"/>
          </a:avLst>
        </a:prstGeom>
        <a:solidFill>
          <a:srgbClr val="FF00FF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/>
            <a:t>BUG-----</a:t>
          </a:r>
        </a:p>
        <a:p>
          <a:pPr algn="l"/>
          <a:r>
            <a:rPr lang="de-CH" sz="1600"/>
            <a:t>When scan for module it is not found because of Ucase</a:t>
          </a:r>
        </a:p>
      </xdr:txBody>
    </xdr:sp>
    <xdr:clientData/>
  </xdr:twoCellAnchor>
  <xdr:twoCellAnchor>
    <xdr:from>
      <xdr:col>9</xdr:col>
      <xdr:colOff>337457</xdr:colOff>
      <xdr:row>1</xdr:row>
      <xdr:rowOff>20547</xdr:rowOff>
    </xdr:from>
    <xdr:to>
      <xdr:col>9</xdr:col>
      <xdr:colOff>1705457</xdr:colOff>
      <xdr:row>1</xdr:row>
      <xdr:rowOff>272547</xdr:rowOff>
    </xdr:to>
    <xdr:sp macro="[0]!OpenVBSinNotepadPP" textlink="">
      <xdr:nvSpPr>
        <xdr:cNvPr id="18" name="Rechteck: abgeschräg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063343" y="521290"/>
          <a:ext cx="1368000" cy="252000"/>
        </a:xfrm>
        <a:prstGeom prst="bevel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z="25400"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View Script </a:t>
          </a:r>
          <a:r>
            <a:rPr lang="en-US" sz="1100" baseline="0"/>
            <a:t>VBS</a:t>
          </a:r>
          <a:r>
            <a:rPr lang="en-US" sz="1100"/>
            <a:t>()</a:t>
          </a:r>
        </a:p>
      </xdr:txBody>
    </xdr:sp>
    <xdr:clientData/>
  </xdr:twoCellAnchor>
  <xdr:twoCellAnchor>
    <xdr:from>
      <xdr:col>9</xdr:col>
      <xdr:colOff>3517855</xdr:colOff>
      <xdr:row>6</xdr:row>
      <xdr:rowOff>165587</xdr:rowOff>
    </xdr:from>
    <xdr:to>
      <xdr:col>11</xdr:col>
      <xdr:colOff>223326</xdr:colOff>
      <xdr:row>12</xdr:row>
      <xdr:rowOff>129518</xdr:rowOff>
    </xdr:to>
    <xdr:sp macro="" textlink="">
      <xdr:nvSpPr>
        <xdr:cNvPr id="17" name="Pfeil: eingekerbt nach recht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2994023">
          <a:off x="8023846" y="3996773"/>
          <a:ext cx="2586107" cy="481853"/>
        </a:xfrm>
        <a:prstGeom prst="notched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X_Drive/SYMPHONY_Download/001_WEBSITE/001_PDF_Tools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J137"/>
  <sheetViews>
    <sheetView tabSelected="1" topLeftCell="A8" zoomScale="85" zoomScaleNormal="85" workbookViewId="0">
      <pane xSplit="12" topLeftCell="M1" activePane="topRight" state="frozenSplit"/>
      <selection pane="topRight" activeCell="M36" sqref="M36"/>
    </sheetView>
  </sheetViews>
  <sheetFormatPr defaultColWidth="8.85546875" defaultRowHeight="15" outlineLevelCol="1" x14ac:dyDescent="0.25"/>
  <cols>
    <col min="1" max="1" width="4.7109375" hidden="1" customWidth="1" outlineLevel="1"/>
    <col min="2" max="2" width="23.85546875" hidden="1" customWidth="1" outlineLevel="1"/>
    <col min="3" max="3" width="27.7109375" hidden="1" customWidth="1" outlineLevel="1"/>
    <col min="4" max="4" width="6.28515625" hidden="1" customWidth="1" outlineLevel="1"/>
    <col min="5" max="5" width="4" hidden="1" customWidth="1" outlineLevel="1"/>
    <col min="6" max="6" width="40.5703125" customWidth="1" collapsed="1"/>
    <col min="7" max="7" width="5.5703125" style="8" customWidth="1"/>
    <col min="8" max="8" width="41.5703125" customWidth="1"/>
    <col min="9" max="9" width="1" customWidth="1"/>
    <col min="10" max="10" width="58.85546875" customWidth="1"/>
    <col min="11" max="11" width="3.140625" customWidth="1"/>
    <col min="12" max="12" width="24.85546875" style="32" customWidth="1"/>
    <col min="13" max="13" width="40.7109375" customWidth="1"/>
    <col min="14" max="14" width="37" customWidth="1"/>
    <col min="15" max="15" width="39.42578125" customWidth="1"/>
    <col min="16" max="16" width="33.7109375" customWidth="1"/>
    <col min="17" max="17" width="36.7109375" customWidth="1"/>
    <col min="18" max="18" width="38" customWidth="1"/>
    <col min="19" max="21" width="35.7109375" style="9" customWidth="1"/>
    <col min="22" max="22" width="35.28515625" customWidth="1"/>
    <col min="23" max="23" width="38" customWidth="1"/>
    <col min="24" max="24" width="33.85546875" customWidth="1"/>
    <col min="25" max="25" width="47.42578125" customWidth="1"/>
    <col min="26" max="26" width="45.28515625" customWidth="1"/>
    <col min="27" max="27" width="42.85546875" customWidth="1"/>
    <col min="28" max="28" width="37" style="40" customWidth="1"/>
    <col min="29" max="29" width="27.5703125" style="40" bestFit="1" customWidth="1"/>
    <col min="30" max="30" width="28.85546875" style="40" bestFit="1" customWidth="1"/>
    <col min="31" max="31" width="38.140625" style="40" customWidth="1"/>
    <col min="32" max="32" width="33.7109375" customWidth="1"/>
    <col min="33" max="34" width="36" style="40" customWidth="1"/>
    <col min="35" max="35" width="34.140625" customWidth="1"/>
    <col min="36" max="36" width="48.7109375" bestFit="1" customWidth="1"/>
  </cols>
  <sheetData>
    <row r="1" spans="1:36" s="44" customFormat="1" ht="39.6" customHeight="1" x14ac:dyDescent="0.25">
      <c r="A1" s="43">
        <v>10</v>
      </c>
      <c r="B1" s="43"/>
      <c r="C1" s="43"/>
      <c r="D1" s="43"/>
      <c r="F1" s="47" t="s">
        <v>3</v>
      </c>
      <c r="G1" s="48"/>
      <c r="H1" s="48"/>
      <c r="I1" s="48"/>
      <c r="J1" s="48"/>
      <c r="K1" s="49"/>
      <c r="L1" s="50"/>
      <c r="M1" s="47" t="s">
        <v>165</v>
      </c>
      <c r="N1" s="48"/>
      <c r="O1" s="48"/>
      <c r="P1" s="43"/>
      <c r="Q1" s="43"/>
      <c r="R1" s="43"/>
      <c r="S1" s="43"/>
      <c r="T1" s="43"/>
      <c r="U1" s="43"/>
      <c r="V1" s="43"/>
      <c r="W1" s="43"/>
      <c r="X1" s="43"/>
      <c r="Y1" s="43"/>
      <c r="Z1" s="45" t="s">
        <v>72</v>
      </c>
      <c r="AA1" s="43"/>
      <c r="AB1" s="43"/>
      <c r="AC1" s="43"/>
      <c r="AD1" s="43"/>
      <c r="AE1" s="43"/>
      <c r="AF1" s="43"/>
      <c r="AG1" s="43"/>
      <c r="AH1" s="43"/>
    </row>
    <row r="2" spans="1:36" s="44" customFormat="1" ht="43.15" customHeight="1" x14ac:dyDescent="0.25">
      <c r="A2" s="46"/>
      <c r="B2" s="43"/>
      <c r="C2" s="43"/>
      <c r="D2" s="43"/>
      <c r="E2" s="43"/>
      <c r="F2" s="48"/>
      <c r="G2" s="51"/>
      <c r="H2" s="48"/>
      <c r="I2" s="48"/>
      <c r="J2" s="48"/>
      <c r="K2" s="49"/>
      <c r="L2" s="49"/>
      <c r="M2" s="48"/>
      <c r="N2" s="48"/>
      <c r="O2" s="48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</row>
    <row r="3" spans="1:36" s="44" customFormat="1" ht="43.15" customHeight="1" x14ac:dyDescent="0.25">
      <c r="A3" s="46"/>
      <c r="B3" s="43"/>
      <c r="C3" s="43"/>
      <c r="D3" s="43"/>
      <c r="E3" s="43"/>
      <c r="F3" s="48"/>
      <c r="G3" s="51"/>
      <c r="H3" s="48"/>
      <c r="I3" s="48"/>
      <c r="J3" s="48"/>
      <c r="K3" s="49"/>
      <c r="L3" s="49"/>
      <c r="M3" s="48"/>
      <c r="N3" s="48"/>
      <c r="O3" s="48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</row>
    <row r="4" spans="1:36" s="15" customFormat="1" ht="21.6" customHeight="1" x14ac:dyDescent="0.25">
      <c r="A4" s="11"/>
      <c r="B4" s="12"/>
      <c r="C4" s="12"/>
      <c r="D4" s="12"/>
      <c r="E4" s="12"/>
      <c r="F4" s="12"/>
      <c r="G4" s="6"/>
      <c r="H4" s="13" t="s">
        <v>8</v>
      </c>
      <c r="I4" s="12"/>
      <c r="J4" s="14" t="str">
        <f ca="1">+OFFSET(L4,0,$J$8)</f>
        <v>Symphony_Sap_Cockpit.vbs</v>
      </c>
      <c r="K4" s="34"/>
      <c r="L4" s="34" t="s">
        <v>62</v>
      </c>
      <c r="M4" s="16" t="s">
        <v>52</v>
      </c>
      <c r="N4" s="16" t="s">
        <v>53</v>
      </c>
      <c r="O4" s="16" t="s">
        <v>51</v>
      </c>
      <c r="P4" s="16" t="s">
        <v>43</v>
      </c>
      <c r="Q4" s="16" t="s">
        <v>55</v>
      </c>
      <c r="R4" s="16" t="s">
        <v>54</v>
      </c>
      <c r="S4" s="16" t="s">
        <v>44</v>
      </c>
      <c r="T4" s="16" t="s">
        <v>47</v>
      </c>
      <c r="U4" s="16" t="s">
        <v>49</v>
      </c>
      <c r="V4" s="16" t="s">
        <v>56</v>
      </c>
      <c r="W4" s="16" t="s">
        <v>59</v>
      </c>
      <c r="X4" s="16" t="s">
        <v>66</v>
      </c>
      <c r="Y4" s="16" t="s">
        <v>91</v>
      </c>
      <c r="Z4" s="38" t="s">
        <v>71</v>
      </c>
      <c r="AA4" s="16" t="s">
        <v>80</v>
      </c>
      <c r="AB4" s="16" t="s">
        <v>86</v>
      </c>
      <c r="AC4" s="16" t="s">
        <v>98</v>
      </c>
      <c r="AD4" s="16" t="s">
        <v>100</v>
      </c>
      <c r="AE4" s="16" t="s">
        <v>109</v>
      </c>
      <c r="AF4" s="16" t="s">
        <v>116</v>
      </c>
      <c r="AG4" s="16" t="s">
        <v>122</v>
      </c>
      <c r="AH4" s="16" t="s">
        <v>129</v>
      </c>
      <c r="AI4" s="16" t="s">
        <v>160</v>
      </c>
      <c r="AJ4" s="16" t="s">
        <v>151</v>
      </c>
    </row>
    <row r="5" spans="1:36" ht="36" customHeight="1" x14ac:dyDescent="0.25">
      <c r="A5" s="1"/>
      <c r="B5" s="2"/>
      <c r="C5" s="2"/>
      <c r="D5" s="2"/>
      <c r="E5" s="2"/>
      <c r="F5" s="29" t="s">
        <v>58</v>
      </c>
      <c r="G5" s="6"/>
      <c r="H5" s="13" t="s">
        <v>2</v>
      </c>
      <c r="I5" s="12"/>
      <c r="J5" s="20" t="str">
        <f ca="1">+OFFSET(L5,0,$J$8)</f>
        <v>C:\W_Drive\PDM_SAP_CONNECTOR\001_WEBSITE\vbs</v>
      </c>
      <c r="K5" s="34"/>
      <c r="L5" s="34" t="s">
        <v>63</v>
      </c>
      <c r="M5" s="35" t="s">
        <v>102</v>
      </c>
      <c r="N5" s="35" t="s">
        <v>110</v>
      </c>
      <c r="O5" s="35" t="s">
        <v>110</v>
      </c>
      <c r="P5" s="35" t="s">
        <v>110</v>
      </c>
      <c r="Q5" s="35" t="s">
        <v>110</v>
      </c>
      <c r="R5" s="35" t="s">
        <v>110</v>
      </c>
      <c r="S5" s="35" t="s">
        <v>110</v>
      </c>
      <c r="T5" s="35" t="s">
        <v>110</v>
      </c>
      <c r="U5" s="35" t="s">
        <v>110</v>
      </c>
      <c r="V5" s="35" t="s">
        <v>110</v>
      </c>
      <c r="W5" s="35" t="s">
        <v>110</v>
      </c>
      <c r="X5" s="35" t="s">
        <v>103</v>
      </c>
      <c r="Y5" s="39" t="s">
        <v>166</v>
      </c>
      <c r="Z5" s="39" t="s">
        <v>164</v>
      </c>
      <c r="AA5" s="35" t="s">
        <v>166</v>
      </c>
      <c r="AB5" s="35" t="s">
        <v>104</v>
      </c>
      <c r="AC5" s="35" t="s">
        <v>152</v>
      </c>
      <c r="AD5" s="35" t="s">
        <v>152</v>
      </c>
      <c r="AE5" s="35" t="s">
        <v>105</v>
      </c>
      <c r="AF5" s="35" t="s">
        <v>117</v>
      </c>
      <c r="AG5" s="35" t="s">
        <v>126</v>
      </c>
      <c r="AH5" s="35" t="s">
        <v>126</v>
      </c>
      <c r="AI5" s="35" t="s">
        <v>132</v>
      </c>
      <c r="AJ5" s="35" t="s">
        <v>138</v>
      </c>
    </row>
    <row r="6" spans="1:36" ht="38.450000000000003" customHeight="1" x14ac:dyDescent="0.25">
      <c r="A6" s="1"/>
      <c r="B6" s="1"/>
      <c r="C6" s="1"/>
      <c r="D6" s="1"/>
      <c r="E6" s="1"/>
      <c r="F6" s="1"/>
      <c r="G6" s="6"/>
      <c r="H6" s="21"/>
      <c r="I6" s="12"/>
      <c r="J6" s="12"/>
      <c r="K6" s="34"/>
      <c r="L6" s="34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38.450000000000003" customHeight="1" x14ac:dyDescent="0.25">
      <c r="A7" s="1"/>
      <c r="B7" s="2"/>
      <c r="C7" s="2"/>
      <c r="D7" s="2"/>
      <c r="E7" s="2"/>
      <c r="F7" s="1"/>
      <c r="G7" s="6"/>
      <c r="H7" s="13" t="s">
        <v>18</v>
      </c>
      <c r="I7" s="12"/>
      <c r="J7" s="22" t="str">
        <f ca="1">+OFFSET(F11,$H$8,0)</f>
        <v>Main_VBS_Cockpit</v>
      </c>
      <c r="K7" s="34"/>
      <c r="L7" s="34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38.450000000000003" customHeight="1" x14ac:dyDescent="0.25">
      <c r="A8" s="1"/>
      <c r="B8" s="2"/>
      <c r="C8" s="2"/>
      <c r="D8" s="2"/>
      <c r="E8" s="2"/>
      <c r="F8" s="1"/>
      <c r="G8" s="6"/>
      <c r="H8" s="2">
        <v>14</v>
      </c>
      <c r="I8" s="2"/>
      <c r="J8" s="2">
        <f>+H8</f>
        <v>14</v>
      </c>
      <c r="K8" s="34"/>
      <c r="L8" s="34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82.9" customHeight="1" x14ac:dyDescent="0.25">
      <c r="A9" s="1"/>
      <c r="B9" s="2"/>
      <c r="C9" s="2"/>
      <c r="D9" s="2"/>
      <c r="E9" s="2"/>
      <c r="F9" s="2"/>
      <c r="G9" s="6"/>
      <c r="H9" s="2"/>
      <c r="I9" s="2"/>
      <c r="J9" s="2"/>
      <c r="K9" s="34"/>
      <c r="L9" s="34" t="s">
        <v>65</v>
      </c>
      <c r="M9" s="19" t="s">
        <v>29</v>
      </c>
      <c r="N9" s="19" t="s">
        <v>30</v>
      </c>
      <c r="O9" s="19" t="s">
        <v>31</v>
      </c>
      <c r="P9" s="18" t="s">
        <v>32</v>
      </c>
      <c r="Q9" s="18" t="s">
        <v>41</v>
      </c>
      <c r="R9" s="18" t="s">
        <v>40</v>
      </c>
      <c r="S9" s="18" t="s">
        <v>33</v>
      </c>
      <c r="T9" s="18" t="s">
        <v>48</v>
      </c>
      <c r="U9" s="18" t="s">
        <v>45</v>
      </c>
      <c r="V9" s="17" t="s">
        <v>28</v>
      </c>
      <c r="W9" s="30" t="s">
        <v>61</v>
      </c>
      <c r="X9" s="36" t="s">
        <v>67</v>
      </c>
      <c r="Y9" s="37" t="s">
        <v>69</v>
      </c>
      <c r="Z9" s="37" t="s">
        <v>73</v>
      </c>
      <c r="AA9" s="41" t="s">
        <v>79</v>
      </c>
      <c r="AB9" s="41" t="s">
        <v>87</v>
      </c>
      <c r="AC9" s="41" t="s">
        <v>95</v>
      </c>
      <c r="AD9" s="41" t="s">
        <v>95</v>
      </c>
      <c r="AE9" s="41" t="s">
        <v>106</v>
      </c>
      <c r="AF9" s="41" t="s">
        <v>115</v>
      </c>
      <c r="AG9" s="41" t="s">
        <v>118</v>
      </c>
      <c r="AH9" s="41" t="s">
        <v>133</v>
      </c>
      <c r="AI9" s="41" t="s">
        <v>134</v>
      </c>
      <c r="AJ9" s="41" t="s">
        <v>139</v>
      </c>
    </row>
    <row r="10" spans="1:36" ht="13.9" customHeight="1" thickBot="1" x14ac:dyDescent="0.3">
      <c r="A10" s="4"/>
      <c r="B10" s="5" t="s">
        <v>4</v>
      </c>
      <c r="C10" s="5" t="s">
        <v>5</v>
      </c>
      <c r="D10" s="5"/>
      <c r="E10" s="5"/>
      <c r="F10" s="5" t="s">
        <v>17</v>
      </c>
      <c r="G10" s="7"/>
      <c r="H10" s="5" t="s">
        <v>6</v>
      </c>
      <c r="I10" s="5"/>
      <c r="J10" s="5"/>
      <c r="K10" s="4"/>
      <c r="L10" s="33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6" ht="20.45" customHeight="1" thickBot="1" x14ac:dyDescent="0.3">
      <c r="A11" s="4"/>
      <c r="B11" t="s">
        <v>0</v>
      </c>
      <c r="C11" t="s">
        <v>1</v>
      </c>
      <c r="D11" t="s">
        <v>14</v>
      </c>
      <c r="E11" s="5"/>
      <c r="F11" s="5"/>
      <c r="G11" s="7"/>
      <c r="H11" s="42" t="s">
        <v>96</v>
      </c>
      <c r="I11" s="5"/>
      <c r="J11" s="40" t="str">
        <f ca="1">+OFFSET(L11,0,$J$8)</f>
        <v>Main_VBS_Cockpit</v>
      </c>
      <c r="K11" s="4"/>
      <c r="L11" s="33" t="s">
        <v>64</v>
      </c>
      <c r="M11" s="26" t="s">
        <v>34</v>
      </c>
      <c r="N11" s="27" t="s">
        <v>37</v>
      </c>
      <c r="O11" s="27" t="s">
        <v>27</v>
      </c>
      <c r="P11" s="27" t="s">
        <v>25</v>
      </c>
      <c r="Q11" s="27" t="s">
        <v>39</v>
      </c>
      <c r="R11" s="27" t="s">
        <v>38</v>
      </c>
      <c r="S11" s="27" t="s">
        <v>36</v>
      </c>
      <c r="T11" s="27" t="s">
        <v>42</v>
      </c>
      <c r="U11" s="27" t="s">
        <v>46</v>
      </c>
      <c r="V11" s="28" t="s">
        <v>57</v>
      </c>
      <c r="W11" s="28" t="s">
        <v>60</v>
      </c>
      <c r="X11" s="28" t="s">
        <v>68</v>
      </c>
      <c r="Y11" s="28" t="s">
        <v>90</v>
      </c>
      <c r="Z11" s="28" t="s">
        <v>75</v>
      </c>
      <c r="AA11" s="28" t="s">
        <v>88</v>
      </c>
      <c r="AB11" s="28" t="s">
        <v>89</v>
      </c>
      <c r="AC11" s="28" t="s">
        <v>96</v>
      </c>
      <c r="AD11" s="28" t="s">
        <v>101</v>
      </c>
      <c r="AE11" s="28" t="s">
        <v>107</v>
      </c>
      <c r="AF11" s="28" t="s">
        <v>114</v>
      </c>
      <c r="AG11" s="28" t="s">
        <v>123</v>
      </c>
      <c r="AH11" s="28" t="s">
        <v>130</v>
      </c>
      <c r="AI11" s="28" t="s">
        <v>135</v>
      </c>
      <c r="AJ11" s="28" t="s">
        <v>137</v>
      </c>
    </row>
    <row r="12" spans="1:36" ht="14.45" customHeight="1" x14ac:dyDescent="0.25">
      <c r="A12" s="4"/>
      <c r="B12" t="s">
        <v>9</v>
      </c>
      <c r="C12" s="3" t="s">
        <v>10</v>
      </c>
      <c r="D12" t="s">
        <v>163</v>
      </c>
      <c r="E12" s="5"/>
      <c r="F12" s="10" t="str">
        <f>+M11</f>
        <v>Main_VBS_TAG_XML_NV</v>
      </c>
      <c r="G12" s="23">
        <v>1</v>
      </c>
      <c r="H12" s="24" t="s">
        <v>96</v>
      </c>
      <c r="I12" s="5"/>
      <c r="J12" s="25" t="str">
        <f t="shared" ref="J12:J24" ca="1" si="0">+OFFSET(L12,0,$J$8)</f>
        <v>VBS90_FileUtilities</v>
      </c>
      <c r="K12" s="4"/>
      <c r="L12" s="33"/>
      <c r="M12" s="9" t="s">
        <v>7</v>
      </c>
      <c r="N12" s="9" t="s">
        <v>7</v>
      </c>
      <c r="O12" s="9" t="s">
        <v>21</v>
      </c>
      <c r="P12" s="9" t="s">
        <v>26</v>
      </c>
      <c r="Q12" s="9" t="s">
        <v>26</v>
      </c>
      <c r="R12" s="9" t="s">
        <v>26</v>
      </c>
      <c r="S12" s="9" t="s">
        <v>26</v>
      </c>
      <c r="T12" s="9" t="s">
        <v>26</v>
      </c>
      <c r="U12" s="9" t="s">
        <v>26</v>
      </c>
      <c r="V12" s="9" t="s">
        <v>26</v>
      </c>
      <c r="W12" s="9" t="s">
        <v>19</v>
      </c>
      <c r="X12" s="9" t="s">
        <v>19</v>
      </c>
      <c r="Y12" s="9" t="s">
        <v>19</v>
      </c>
      <c r="Z12" s="24" t="s">
        <v>19</v>
      </c>
      <c r="AA12" s="24" t="s">
        <v>19</v>
      </c>
      <c r="AB12" s="24" t="s">
        <v>19</v>
      </c>
      <c r="AC12" s="42" t="s">
        <v>19</v>
      </c>
      <c r="AD12" s="42"/>
      <c r="AE12" s="42"/>
      <c r="AF12" s="42" t="s">
        <v>111</v>
      </c>
      <c r="AG12" s="24" t="s">
        <v>121</v>
      </c>
      <c r="AH12" s="24" t="s">
        <v>131</v>
      </c>
      <c r="AI12" s="24" t="s">
        <v>136</v>
      </c>
      <c r="AJ12" s="24" t="s">
        <v>137</v>
      </c>
    </row>
    <row r="13" spans="1:36" ht="14.45" customHeight="1" x14ac:dyDescent="0.25">
      <c r="A13" s="4"/>
      <c r="B13" t="s">
        <v>11</v>
      </c>
      <c r="C13" s="3" t="s">
        <v>12</v>
      </c>
      <c r="D13" s="40" t="s">
        <v>163</v>
      </c>
      <c r="E13" s="5"/>
      <c r="F13" s="10" t="str">
        <f>+N11</f>
        <v>Main_VBS_TAG_XML_XMLUser</v>
      </c>
      <c r="G13" s="23">
        <v>2</v>
      </c>
      <c r="H13" s="24" t="s">
        <v>60</v>
      </c>
      <c r="I13" s="5"/>
      <c r="J13" s="25" t="str">
        <f t="shared" ca="1" si="0"/>
        <v>VBS50_Create_HTML</v>
      </c>
      <c r="K13" s="4"/>
      <c r="L13" s="33"/>
      <c r="M13" s="9" t="s">
        <v>35</v>
      </c>
      <c r="N13" s="9" t="s">
        <v>35</v>
      </c>
      <c r="O13" s="9" t="s">
        <v>78</v>
      </c>
      <c r="P13" s="9" t="s">
        <v>19</v>
      </c>
      <c r="Q13" s="9" t="s">
        <v>19</v>
      </c>
      <c r="R13" s="9" t="s">
        <v>19</v>
      </c>
      <c r="S13" s="9" t="s">
        <v>19</v>
      </c>
      <c r="T13" s="9" t="s">
        <v>19</v>
      </c>
      <c r="U13" s="9" t="s">
        <v>19</v>
      </c>
      <c r="V13" s="9" t="s">
        <v>19</v>
      </c>
      <c r="W13" s="9"/>
      <c r="X13" s="24" t="s">
        <v>78</v>
      </c>
      <c r="Y13" s="9" t="s">
        <v>70</v>
      </c>
      <c r="Z13" s="24" t="s">
        <v>76</v>
      </c>
      <c r="AA13" s="24" t="s">
        <v>70</v>
      </c>
      <c r="AB13" s="24" t="s">
        <v>70</v>
      </c>
      <c r="AC13" s="40" t="s">
        <v>70</v>
      </c>
      <c r="AE13" s="42"/>
      <c r="AF13" s="42" t="s">
        <v>19</v>
      </c>
      <c r="AG13" s="24" t="s">
        <v>22</v>
      </c>
      <c r="AH13" s="24" t="s">
        <v>22</v>
      </c>
      <c r="AI13" s="24" t="s">
        <v>22</v>
      </c>
      <c r="AJ13" s="24" t="s">
        <v>19</v>
      </c>
    </row>
    <row r="14" spans="1:36" ht="14.45" customHeight="1" x14ac:dyDescent="0.25">
      <c r="A14" s="4"/>
      <c r="B14" t="s">
        <v>13</v>
      </c>
      <c r="D14" s="40" t="s">
        <v>163</v>
      </c>
      <c r="E14" s="5"/>
      <c r="F14" s="10" t="str">
        <f>+O11</f>
        <v>Main_VBS_TAG_Remove</v>
      </c>
      <c r="G14" s="23">
        <v>3</v>
      </c>
      <c r="H14" s="24" t="s">
        <v>81</v>
      </c>
      <c r="I14" s="5"/>
      <c r="J14" s="25" t="str">
        <f t="shared" ca="1" si="0"/>
        <v>VBS51_Make_Header_HTML</v>
      </c>
      <c r="K14" s="4"/>
      <c r="L14" s="33"/>
      <c r="M14" s="9" t="s">
        <v>20</v>
      </c>
      <c r="N14" s="9" t="s">
        <v>20</v>
      </c>
      <c r="O14" s="9"/>
      <c r="P14" s="24" t="s">
        <v>50</v>
      </c>
      <c r="Q14" s="9" t="s">
        <v>22</v>
      </c>
      <c r="R14" s="9" t="s">
        <v>22</v>
      </c>
      <c r="S14" s="9" t="s">
        <v>22</v>
      </c>
      <c r="T14" s="9" t="s">
        <v>22</v>
      </c>
      <c r="U14" s="9" t="s">
        <v>22</v>
      </c>
      <c r="V14" s="9" t="s">
        <v>21</v>
      </c>
      <c r="W14" s="9"/>
      <c r="X14" s="9"/>
      <c r="Y14" s="24" t="s">
        <v>83</v>
      </c>
      <c r="Z14" s="24" t="s">
        <v>92</v>
      </c>
      <c r="AA14" s="40"/>
      <c r="AC14" s="24" t="s">
        <v>22</v>
      </c>
      <c r="AD14" s="24"/>
      <c r="AE14" s="24"/>
      <c r="AF14" s="40"/>
      <c r="AG14" s="24" t="s">
        <v>19</v>
      </c>
      <c r="AH14" s="42" t="s">
        <v>19</v>
      </c>
      <c r="AI14" s="42" t="s">
        <v>19</v>
      </c>
      <c r="AJ14" s="24" t="s">
        <v>22</v>
      </c>
    </row>
    <row r="15" spans="1:36" ht="14.45" customHeight="1" x14ac:dyDescent="0.25">
      <c r="A15" s="4"/>
      <c r="B15" s="40" t="s">
        <v>84</v>
      </c>
      <c r="C15" s="3" t="s">
        <v>85</v>
      </c>
      <c r="D15" s="40" t="s">
        <v>163</v>
      </c>
      <c r="E15" s="5"/>
      <c r="F15" s="10" t="str">
        <f>+P11</f>
        <v>Main_VBS_STAMP_Remove</v>
      </c>
      <c r="G15" s="23">
        <v>4</v>
      </c>
      <c r="H15" s="24" t="s">
        <v>75</v>
      </c>
      <c r="I15" s="5"/>
      <c r="J15" s="25" t="str">
        <f t="shared" ca="1" si="0"/>
        <v>VBS52_Make_Folders_Lists</v>
      </c>
      <c r="K15" s="4"/>
      <c r="L15" s="33"/>
      <c r="M15" s="9" t="s">
        <v>21</v>
      </c>
      <c r="N15" s="9" t="s">
        <v>21</v>
      </c>
      <c r="O15" s="9"/>
      <c r="P15" s="9"/>
      <c r="Q15" s="9" t="s">
        <v>21</v>
      </c>
      <c r="R15" s="9" t="s">
        <v>21</v>
      </c>
      <c r="S15" s="9" t="s">
        <v>21</v>
      </c>
      <c r="T15" s="9" t="s">
        <v>21</v>
      </c>
      <c r="U15" s="9" t="s">
        <v>21</v>
      </c>
      <c r="V15" s="9" t="s">
        <v>22</v>
      </c>
      <c r="W15" s="9"/>
      <c r="X15" s="9"/>
      <c r="Y15" s="24" t="s">
        <v>22</v>
      </c>
      <c r="Z15" s="24" t="s">
        <v>77</v>
      </c>
      <c r="AA15" s="40"/>
      <c r="AC15" s="40" t="s">
        <v>21</v>
      </c>
      <c r="AF15" s="40"/>
      <c r="AG15" s="24" t="s">
        <v>82</v>
      </c>
      <c r="AH15" s="24" t="s">
        <v>82</v>
      </c>
      <c r="AI15" s="24" t="s">
        <v>82</v>
      </c>
      <c r="AJ15" s="24" t="s">
        <v>121</v>
      </c>
    </row>
    <row r="16" spans="1:36" ht="14.45" customHeight="1" x14ac:dyDescent="0.25">
      <c r="A16" s="4"/>
      <c r="B16" t="s">
        <v>15</v>
      </c>
      <c r="C16" s="3" t="s">
        <v>16</v>
      </c>
      <c r="D16" s="40" t="s">
        <v>163</v>
      </c>
      <c r="E16" s="5"/>
      <c r="F16" s="10" t="str">
        <f>+Q11</f>
        <v>Main_VBS_STAMP_Title_XML_AD</v>
      </c>
      <c r="G16" s="23">
        <v>5</v>
      </c>
      <c r="H16" s="24" t="s">
        <v>99</v>
      </c>
      <c r="I16" s="5"/>
      <c r="J16" s="25" t="str">
        <f t="shared" ca="1" si="0"/>
        <v>VBS20_Get_System</v>
      </c>
      <c r="K16" s="4"/>
      <c r="L16" s="33"/>
      <c r="M16" s="9" t="s">
        <v>22</v>
      </c>
      <c r="N16" s="9" t="s">
        <v>22</v>
      </c>
      <c r="O16" s="9"/>
      <c r="P16" s="9"/>
      <c r="Q16" s="24" t="s">
        <v>50</v>
      </c>
      <c r="R16" s="24" t="s">
        <v>50</v>
      </c>
      <c r="S16" s="24" t="s">
        <v>50</v>
      </c>
      <c r="T16" s="24" t="s">
        <v>50</v>
      </c>
      <c r="U16" s="24" t="s">
        <v>50</v>
      </c>
      <c r="V16" s="24" t="s">
        <v>20</v>
      </c>
      <c r="W16" s="9"/>
      <c r="X16" s="9"/>
      <c r="Y16" s="9"/>
      <c r="Z16" s="42" t="s">
        <v>74</v>
      </c>
      <c r="AA16" s="40"/>
      <c r="AF16" s="40"/>
      <c r="AG16" s="24" t="s">
        <v>124</v>
      </c>
      <c r="AH16" s="24" t="s">
        <v>119</v>
      </c>
      <c r="AI16" s="24" t="s">
        <v>119</v>
      </c>
      <c r="AJ16" s="24" t="s">
        <v>142</v>
      </c>
    </row>
    <row r="17" spans="1:36" ht="14.45" customHeight="1" x14ac:dyDescent="0.25">
      <c r="A17" s="4"/>
      <c r="B17" t="s">
        <v>146</v>
      </c>
      <c r="C17" s="3" t="s">
        <v>147</v>
      </c>
      <c r="D17" s="40" t="s">
        <v>163</v>
      </c>
      <c r="E17" s="5"/>
      <c r="F17" s="10" t="str">
        <f>+R11</f>
        <v>Main_VBS_STAMP_Title_XML_LMD</v>
      </c>
      <c r="G17" s="23">
        <v>6</v>
      </c>
      <c r="H17" s="24" t="s">
        <v>68</v>
      </c>
      <c r="I17" s="5"/>
      <c r="J17" s="25" t="str">
        <f t="shared" ca="1" si="0"/>
        <v>VBS91_RegularExpressions</v>
      </c>
      <c r="K17" s="4"/>
      <c r="L17" s="33"/>
      <c r="M17" s="9" t="s">
        <v>23</v>
      </c>
      <c r="N17" s="9" t="s">
        <v>24</v>
      </c>
      <c r="O17" s="9"/>
      <c r="P17" s="9"/>
      <c r="Q17" s="9"/>
      <c r="R17" s="9"/>
      <c r="V17" s="9"/>
      <c r="W17" s="9"/>
      <c r="X17" s="9"/>
      <c r="Y17" s="9"/>
      <c r="Z17" s="42" t="s">
        <v>22</v>
      </c>
      <c r="AA17" s="40"/>
      <c r="AF17" s="40"/>
      <c r="AG17" s="24" t="s">
        <v>125</v>
      </c>
      <c r="AH17" s="24" t="s">
        <v>70</v>
      </c>
      <c r="AI17" s="24" t="s">
        <v>70</v>
      </c>
      <c r="AJ17" s="24" t="s">
        <v>150</v>
      </c>
    </row>
    <row r="18" spans="1:36" ht="14.45" customHeight="1" x14ac:dyDescent="0.25">
      <c r="A18" s="4"/>
      <c r="B18" t="s">
        <v>148</v>
      </c>
      <c r="C18" s="3" t="s">
        <v>149</v>
      </c>
      <c r="D18" s="40" t="s">
        <v>163</v>
      </c>
      <c r="E18" s="5"/>
      <c r="F18" s="10" t="str">
        <f>+S11</f>
        <v>Main_VBS_STAMP_fileName</v>
      </c>
      <c r="G18" s="23">
        <v>7</v>
      </c>
      <c r="H18" s="24" t="s">
        <v>137</v>
      </c>
      <c r="I18" s="5"/>
      <c r="J18" s="25" t="str">
        <f t="shared" ca="1" si="0"/>
        <v>VBS50_Create_HTML_NG</v>
      </c>
      <c r="K18" s="4"/>
      <c r="L18" s="33"/>
      <c r="M18" s="9" t="s">
        <v>24</v>
      </c>
      <c r="N18" s="9" t="s">
        <v>23</v>
      </c>
      <c r="O18" s="9"/>
      <c r="P18" s="9"/>
      <c r="Q18" s="9"/>
      <c r="R18" s="9"/>
      <c r="V18" s="9"/>
      <c r="W18" s="9"/>
      <c r="X18" s="9"/>
      <c r="Y18" s="9"/>
      <c r="Z18" s="42" t="s">
        <v>93</v>
      </c>
      <c r="AA18" s="40"/>
      <c r="AF18" s="40"/>
      <c r="AG18" s="40" t="s">
        <v>128</v>
      </c>
      <c r="AI18" s="24" t="s">
        <v>156</v>
      </c>
      <c r="AJ18" t="s">
        <v>143</v>
      </c>
    </row>
    <row r="19" spans="1:36" ht="14.45" customHeight="1" x14ac:dyDescent="0.25">
      <c r="A19" s="4"/>
      <c r="E19" s="5"/>
      <c r="F19" s="10" t="str">
        <f>+T11</f>
        <v>MAIN_VBS_STAMP_TitleTag</v>
      </c>
      <c r="G19" s="23">
        <v>8</v>
      </c>
      <c r="H19" s="24" t="s">
        <v>130</v>
      </c>
      <c r="I19" s="5"/>
      <c r="J19" s="25" t="str">
        <f t="shared" ca="1" si="0"/>
        <v>VBS50_Create_HTML_Forms_NG</v>
      </c>
      <c r="K19" s="4"/>
      <c r="L19" s="33"/>
      <c r="M19" s="9"/>
      <c r="N19" s="9" t="s">
        <v>78</v>
      </c>
      <c r="O19" s="9"/>
      <c r="P19" s="9"/>
      <c r="Q19" s="9"/>
      <c r="R19" s="9"/>
      <c r="V19" s="9"/>
      <c r="W19" s="9"/>
      <c r="X19" s="9"/>
      <c r="Y19" s="9"/>
      <c r="Z19" s="42" t="s">
        <v>94</v>
      </c>
      <c r="AA19" s="40"/>
      <c r="AF19" s="40"/>
      <c r="AJ19" s="24"/>
    </row>
    <row r="20" spans="1:36" ht="14.45" customHeight="1" x14ac:dyDescent="0.25">
      <c r="A20" s="4"/>
      <c r="E20" s="5"/>
      <c r="F20" s="10" t="str">
        <f>+U11</f>
        <v>MAIN_VBS_STAMP_MATNR</v>
      </c>
      <c r="G20" s="23">
        <v>9</v>
      </c>
      <c r="H20" s="24" t="s">
        <v>135</v>
      </c>
      <c r="I20" s="5"/>
      <c r="J20" s="25" t="str">
        <f t="shared" ca="1" si="0"/>
        <v>VBS93_WSCRIPT_QUERY</v>
      </c>
      <c r="K20" s="4"/>
      <c r="L20" s="33"/>
      <c r="P20" s="9"/>
      <c r="Q20" s="9"/>
      <c r="R20" s="9"/>
      <c r="V20" s="9"/>
      <c r="W20" s="9"/>
      <c r="X20" s="9"/>
      <c r="Y20" s="9"/>
      <c r="Z20" s="24" t="s">
        <v>111</v>
      </c>
      <c r="AA20" s="40"/>
      <c r="AF20" s="40"/>
      <c r="AJ20" s="24"/>
    </row>
    <row r="21" spans="1:36" ht="14.45" customHeight="1" x14ac:dyDescent="0.25">
      <c r="A21" s="4"/>
      <c r="E21" s="5"/>
      <c r="F21" s="10" t="str">
        <f>+V11</f>
        <v>Main_VBS_RENAME_Title</v>
      </c>
      <c r="G21" s="23">
        <v>10</v>
      </c>
      <c r="H21" s="24" t="s">
        <v>57</v>
      </c>
      <c r="I21" s="5"/>
      <c r="J21" s="25" t="str">
        <f t="shared" ca="1" si="0"/>
        <v>VBS50_Cockpit_Utilities</v>
      </c>
      <c r="K21" s="4"/>
      <c r="L21" s="33"/>
      <c r="P21" s="9"/>
      <c r="Q21" s="9"/>
      <c r="R21" s="9"/>
      <c r="V21" s="9"/>
      <c r="W21" s="9"/>
      <c r="X21" s="9"/>
      <c r="Y21" s="9"/>
      <c r="Z21" s="42" t="s">
        <v>161</v>
      </c>
      <c r="AA21" s="40"/>
      <c r="AF21" s="40"/>
      <c r="AJ21" s="24"/>
    </row>
    <row r="22" spans="1:36" ht="14.45" customHeight="1" x14ac:dyDescent="0.25">
      <c r="A22" s="4"/>
      <c r="E22" s="5"/>
      <c r="F22" s="10" t="str">
        <f>+W11</f>
        <v>Main_PDF_Execute_Command</v>
      </c>
      <c r="G22" s="23">
        <v>11</v>
      </c>
      <c r="H22" s="24" t="s">
        <v>107</v>
      </c>
      <c r="I22" s="5"/>
      <c r="J22" s="25" t="str">
        <f t="shared" ca="1" si="0"/>
        <v>VBS94_Messagebox</v>
      </c>
      <c r="K22" s="4"/>
      <c r="L22" s="33"/>
      <c r="P22" s="9"/>
      <c r="Q22" s="9"/>
      <c r="R22" s="9"/>
      <c r="V22" s="9"/>
      <c r="W22" s="9"/>
      <c r="X22" s="9"/>
      <c r="Y22" s="9"/>
      <c r="Z22" s="42" t="s">
        <v>83</v>
      </c>
      <c r="AA22" s="40"/>
      <c r="AF22" s="40"/>
      <c r="AJ22" s="24"/>
    </row>
    <row r="23" spans="1:36" ht="14.45" customHeight="1" x14ac:dyDescent="0.25">
      <c r="A23" s="4"/>
      <c r="E23" s="5"/>
      <c r="F23" s="10" t="str">
        <f>+X11</f>
        <v>Main_VBS_ExecuteFree</v>
      </c>
      <c r="G23" s="23">
        <v>12</v>
      </c>
      <c r="H23" s="24" t="s">
        <v>114</v>
      </c>
      <c r="I23" s="5"/>
      <c r="J23" s="25">
        <f t="shared" ca="1" si="0"/>
        <v>0</v>
      </c>
      <c r="K23" s="4"/>
      <c r="L23" s="33"/>
      <c r="P23" s="9"/>
      <c r="Q23" s="9"/>
      <c r="R23" s="9"/>
      <c r="V23" s="9"/>
      <c r="W23" s="9"/>
      <c r="X23" s="9"/>
      <c r="Y23" s="9"/>
      <c r="Z23" s="9"/>
      <c r="AA23" s="40"/>
      <c r="AF23" s="40"/>
      <c r="AJ23" s="24"/>
    </row>
    <row r="24" spans="1:36" ht="14.45" customHeight="1" x14ac:dyDescent="0.25">
      <c r="A24" s="4"/>
      <c r="E24" s="5"/>
      <c r="F24" s="10" t="str">
        <f>+Y11</f>
        <v>Main_VBS_UnzipRegenMove</v>
      </c>
      <c r="G24" s="23">
        <v>13</v>
      </c>
      <c r="H24" s="24" t="s">
        <v>36</v>
      </c>
      <c r="I24" s="5"/>
      <c r="J24" s="25">
        <f t="shared" ca="1" si="0"/>
        <v>0</v>
      </c>
      <c r="K24" s="4"/>
      <c r="L24" s="33"/>
      <c r="P24" s="9"/>
      <c r="Q24" s="9"/>
      <c r="R24" s="9"/>
      <c r="V24" s="9"/>
      <c r="W24" s="9"/>
      <c r="X24" s="9"/>
      <c r="Y24" s="9"/>
      <c r="Z24" s="9"/>
      <c r="AA24" s="40"/>
      <c r="AF24" s="40"/>
      <c r="AJ24" s="24"/>
    </row>
    <row r="25" spans="1:36" ht="13.9" customHeight="1" x14ac:dyDescent="0.25">
      <c r="A25" s="4"/>
      <c r="B25" s="4"/>
      <c r="C25" s="4"/>
      <c r="D25" s="4"/>
      <c r="E25" s="5"/>
      <c r="F25" s="10" t="str">
        <f>+Z11</f>
        <v>Main_VBS_Cockpit</v>
      </c>
      <c r="G25" s="23">
        <v>14</v>
      </c>
      <c r="H25" s="24" t="s">
        <v>25</v>
      </c>
      <c r="I25" s="4"/>
      <c r="J25" s="4"/>
      <c r="K25" s="4"/>
      <c r="L25" s="33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</row>
    <row r="26" spans="1:36" ht="13.9" customHeight="1" x14ac:dyDescent="0.25">
      <c r="A26" s="4"/>
      <c r="B26" s="4"/>
      <c r="C26" s="4"/>
      <c r="D26" s="4"/>
      <c r="E26" s="5"/>
      <c r="F26" s="10" t="str">
        <f>+AA11</f>
        <v>Main_UNZIP_drag_drop</v>
      </c>
      <c r="G26" s="23">
        <v>15</v>
      </c>
      <c r="H26" s="24" t="s">
        <v>39</v>
      </c>
      <c r="I26" s="4"/>
      <c r="J26" s="4"/>
      <c r="K26" s="4"/>
      <c r="L26" s="33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</row>
    <row r="27" spans="1:36" ht="13.9" customHeight="1" x14ac:dyDescent="0.25">
      <c r="A27" s="4"/>
      <c r="B27" s="4"/>
      <c r="C27" s="4"/>
      <c r="D27" s="4"/>
      <c r="E27" s="5"/>
      <c r="F27" s="10" t="str">
        <f>+AB11</f>
        <v>Main_AN_Tool</v>
      </c>
      <c r="G27" s="23">
        <v>16</v>
      </c>
      <c r="H27" s="24" t="s">
        <v>38</v>
      </c>
      <c r="I27" s="4"/>
      <c r="J27" s="4"/>
      <c r="K27" s="4"/>
      <c r="L27" s="33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</row>
    <row r="28" spans="1:36" ht="13.9" customHeight="1" x14ac:dyDescent="0.25">
      <c r="A28" s="4"/>
      <c r="B28" s="4"/>
      <c r="C28" s="4"/>
      <c r="D28" s="4"/>
      <c r="E28" s="5"/>
      <c r="F28" s="10" t="str">
        <f>+AC11</f>
        <v>Main_HPGL_Archiv_Compare</v>
      </c>
      <c r="G28" s="23">
        <v>17</v>
      </c>
      <c r="H28" s="24" t="s">
        <v>123</v>
      </c>
      <c r="I28" s="4"/>
      <c r="J28" s="4"/>
      <c r="K28" s="4"/>
      <c r="L28" s="33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</row>
    <row r="29" spans="1:36" ht="13.9" customHeight="1" x14ac:dyDescent="0.25">
      <c r="A29" s="4"/>
      <c r="B29" s="4"/>
      <c r="C29" s="4"/>
      <c r="D29" s="4"/>
      <c r="E29" s="5"/>
      <c r="F29" s="10" t="str">
        <f>+AD11</f>
        <v>Main_HPGL</v>
      </c>
      <c r="G29" s="23">
        <v>18</v>
      </c>
      <c r="H29" s="24" t="s">
        <v>27</v>
      </c>
      <c r="I29" s="4"/>
      <c r="J29" s="4"/>
      <c r="K29" s="4"/>
      <c r="L29" s="3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</row>
    <row r="30" spans="1:36" ht="13.9" customHeight="1" x14ac:dyDescent="0.25">
      <c r="A30" s="4"/>
      <c r="B30" s="4"/>
      <c r="C30" s="4"/>
      <c r="D30" s="4"/>
      <c r="E30" s="5"/>
      <c r="F30" s="10" t="str">
        <f>+AE11</f>
        <v>Main_VBS_RENAME_ZIP_append_SESA</v>
      </c>
      <c r="G30" s="23">
        <v>19</v>
      </c>
      <c r="H30" s="24" t="s">
        <v>34</v>
      </c>
      <c r="I30" s="4"/>
      <c r="J30" s="4"/>
      <c r="K30" s="4"/>
      <c r="L30" s="3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</row>
    <row r="31" spans="1:36" ht="13.9" customHeight="1" x14ac:dyDescent="0.25">
      <c r="A31" s="4"/>
      <c r="B31" s="4"/>
      <c r="C31" s="4"/>
      <c r="D31" s="4"/>
      <c r="E31" s="5"/>
      <c r="F31" s="10" t="str">
        <f>+AF11</f>
        <v>Main_VBS_ServerHealth</v>
      </c>
      <c r="G31" s="23">
        <v>20</v>
      </c>
      <c r="H31" s="24" t="s">
        <v>37</v>
      </c>
      <c r="I31" s="4"/>
      <c r="J31" s="4"/>
      <c r="K31" s="4"/>
      <c r="L31" s="3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</row>
    <row r="32" spans="1:36" ht="13.9" customHeight="1" x14ac:dyDescent="0.25">
      <c r="A32" s="4"/>
      <c r="B32" s="4"/>
      <c r="C32" s="4"/>
      <c r="D32" s="4"/>
      <c r="E32" s="5"/>
      <c r="F32" s="10" t="str">
        <f>+AG11</f>
        <v>Main_VBS_SuchfunktionFeller</v>
      </c>
      <c r="G32" s="23">
        <v>21</v>
      </c>
      <c r="H32" s="24" t="s">
        <v>90</v>
      </c>
      <c r="I32" s="4"/>
      <c r="J32" s="4"/>
      <c r="K32" s="4"/>
      <c r="L32" s="3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</row>
    <row r="33" spans="1:34" ht="13.9" customHeight="1" x14ac:dyDescent="0.25">
      <c r="A33" s="4"/>
      <c r="B33" s="4"/>
      <c r="C33" s="4"/>
      <c r="D33" s="4"/>
      <c r="E33" s="5"/>
      <c r="F33" s="10" t="str">
        <f>+AH11</f>
        <v>Main_VBS_Get_PDM_PDF_Stamped</v>
      </c>
      <c r="G33" s="23">
        <v>22</v>
      </c>
      <c r="H33" s="24" t="s">
        <v>153</v>
      </c>
      <c r="I33" s="4"/>
      <c r="J33" s="4"/>
      <c r="K33" s="4"/>
      <c r="L33" s="3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</row>
    <row r="34" spans="1:34" ht="12.75" customHeight="1" x14ac:dyDescent="0.25">
      <c r="A34" s="4"/>
      <c r="B34" s="4"/>
      <c r="C34" s="4"/>
      <c r="D34" s="4"/>
      <c r="E34" s="5"/>
      <c r="F34" s="10" t="str">
        <f>+AI11</f>
        <v>Main_VBS_Get_PDM_PDF_Stamped3</v>
      </c>
      <c r="G34" s="23">
        <v>23</v>
      </c>
      <c r="H34" s="24" t="s">
        <v>158</v>
      </c>
      <c r="I34" s="4"/>
      <c r="J34" s="4"/>
      <c r="K34" s="4"/>
      <c r="L34" s="3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</row>
    <row r="35" spans="1:34" ht="12.75" customHeight="1" x14ac:dyDescent="0.25">
      <c r="A35" s="4"/>
      <c r="B35" s="4"/>
      <c r="C35" s="4"/>
      <c r="D35" s="4"/>
      <c r="E35" s="5"/>
      <c r="F35" s="10" t="str">
        <f>+AJ11</f>
        <v>Main_VBS_Get_PDM_BOM</v>
      </c>
      <c r="G35" s="23">
        <v>24</v>
      </c>
      <c r="H35" s="24" t="s">
        <v>159</v>
      </c>
      <c r="I35" s="4"/>
      <c r="J35" s="4"/>
      <c r="K35" s="4"/>
      <c r="L35" s="3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</row>
    <row r="36" spans="1:34" ht="12.75" customHeight="1" x14ac:dyDescent="0.25">
      <c r="A36" s="4"/>
      <c r="B36" s="4"/>
      <c r="C36" s="4"/>
      <c r="D36" s="4"/>
      <c r="E36" s="5"/>
      <c r="F36" s="5"/>
      <c r="G36" s="7"/>
      <c r="H36" s="24" t="s">
        <v>154</v>
      </c>
      <c r="I36" s="4"/>
      <c r="J36" s="4"/>
      <c r="K36" s="4"/>
      <c r="L36" s="3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</row>
    <row r="37" spans="1:34" ht="12.75" customHeight="1" x14ac:dyDescent="0.25">
      <c r="A37" s="4"/>
      <c r="B37" s="4"/>
      <c r="C37" s="4"/>
      <c r="D37" s="4"/>
      <c r="E37" s="5"/>
      <c r="F37" s="5"/>
      <c r="G37" s="7"/>
      <c r="H37" s="24" t="s">
        <v>156</v>
      </c>
      <c r="I37" s="4"/>
      <c r="J37" s="4"/>
      <c r="K37" s="4"/>
      <c r="L37" s="3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</row>
    <row r="38" spans="1:34" ht="12.75" customHeight="1" x14ac:dyDescent="0.25">
      <c r="A38" s="4"/>
      <c r="B38" s="4"/>
      <c r="C38" s="4"/>
      <c r="D38" s="4"/>
      <c r="E38" s="5"/>
      <c r="F38" s="5"/>
      <c r="G38" s="7"/>
      <c r="H38" s="24" t="s">
        <v>157</v>
      </c>
      <c r="I38" s="4"/>
      <c r="J38" s="4"/>
      <c r="K38" s="4"/>
      <c r="L38" s="3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</row>
    <row r="39" spans="1:34" ht="12.75" customHeight="1" x14ac:dyDescent="0.25">
      <c r="A39" s="4"/>
      <c r="B39" s="4"/>
      <c r="C39" s="4"/>
      <c r="D39" s="4"/>
      <c r="E39" s="5"/>
      <c r="F39" s="5"/>
      <c r="G39" s="7"/>
      <c r="H39" s="24" t="s">
        <v>155</v>
      </c>
      <c r="I39" s="4"/>
      <c r="J39" s="4"/>
      <c r="K39" s="4"/>
      <c r="L39" s="3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</row>
    <row r="40" spans="1:34" ht="12.75" customHeight="1" x14ac:dyDescent="0.25">
      <c r="A40" s="4"/>
      <c r="B40" s="4"/>
      <c r="C40" s="4"/>
      <c r="D40" s="4"/>
      <c r="E40" s="5"/>
      <c r="F40" s="5"/>
      <c r="G40" s="7"/>
      <c r="H40" s="24" t="s">
        <v>131</v>
      </c>
      <c r="I40" s="4"/>
      <c r="J40" s="4"/>
      <c r="K40" s="4"/>
      <c r="L40" s="3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</row>
    <row r="41" spans="1:34" ht="12.75" customHeight="1" x14ac:dyDescent="0.25">
      <c r="A41" s="4"/>
      <c r="B41" s="4"/>
      <c r="C41" s="4"/>
      <c r="D41" s="4"/>
      <c r="E41" s="5"/>
      <c r="F41" s="5"/>
      <c r="G41" s="7"/>
      <c r="H41" s="24" t="s">
        <v>136</v>
      </c>
      <c r="I41" s="4"/>
      <c r="J41" s="4"/>
      <c r="K41" s="4"/>
      <c r="L41" s="3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</row>
    <row r="42" spans="1:34" ht="12.75" customHeight="1" x14ac:dyDescent="0.25">
      <c r="A42" s="4"/>
      <c r="B42" s="4"/>
      <c r="C42" s="4"/>
      <c r="D42" s="4"/>
      <c r="E42" s="5"/>
      <c r="F42" s="5"/>
      <c r="G42" s="7"/>
      <c r="H42" s="24" t="s">
        <v>113</v>
      </c>
      <c r="I42" s="4"/>
      <c r="J42" s="4"/>
      <c r="K42" s="4"/>
      <c r="L42" s="3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</row>
    <row r="43" spans="1:34" ht="12.75" customHeight="1" x14ac:dyDescent="0.25">
      <c r="A43" s="4"/>
      <c r="B43" s="4"/>
      <c r="C43" s="4"/>
      <c r="D43" s="4"/>
      <c r="E43" s="5"/>
      <c r="F43" s="5"/>
      <c r="G43" s="7"/>
      <c r="H43" s="24" t="s">
        <v>141</v>
      </c>
      <c r="I43" s="4"/>
      <c r="J43" s="4"/>
      <c r="K43" s="4"/>
      <c r="L43" s="3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spans="1:34" ht="12.75" customHeight="1" x14ac:dyDescent="0.25">
      <c r="A44" s="4"/>
      <c r="B44" s="4"/>
      <c r="C44" s="4"/>
      <c r="D44" s="4"/>
      <c r="E44" s="5"/>
      <c r="F44" s="5"/>
      <c r="G44" s="7"/>
      <c r="H44" s="24" t="s">
        <v>142</v>
      </c>
      <c r="I44" s="4"/>
      <c r="J44" s="4"/>
      <c r="K44" s="4"/>
      <c r="L44" s="3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</row>
    <row r="45" spans="1:34" ht="12.75" customHeight="1" x14ac:dyDescent="0.25">
      <c r="A45" s="4"/>
      <c r="B45" s="4"/>
      <c r="C45" s="4"/>
      <c r="D45" s="4"/>
      <c r="E45" s="5"/>
      <c r="F45" s="5"/>
      <c r="G45" s="7"/>
      <c r="H45" s="24" t="s">
        <v>143</v>
      </c>
      <c r="I45" s="4"/>
      <c r="J45" s="4"/>
      <c r="K45" s="4"/>
      <c r="L45" s="3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</row>
    <row r="46" spans="1:34" ht="12.75" customHeight="1" x14ac:dyDescent="0.25">
      <c r="A46" s="4"/>
      <c r="B46" s="4"/>
      <c r="C46" s="4"/>
      <c r="D46" s="4"/>
      <c r="E46" s="5"/>
      <c r="F46" s="5"/>
      <c r="G46" s="7"/>
      <c r="H46" s="24" t="s">
        <v>144</v>
      </c>
      <c r="I46" s="4"/>
      <c r="J46" s="4"/>
      <c r="K46" s="4"/>
      <c r="L46" s="3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</row>
    <row r="47" spans="1:34" ht="12.75" customHeight="1" x14ac:dyDescent="0.25">
      <c r="A47" s="4"/>
      <c r="B47" s="4"/>
      <c r="C47" s="4"/>
      <c r="D47" s="4"/>
      <c r="E47" s="5"/>
      <c r="F47" s="5"/>
      <c r="G47" s="7"/>
      <c r="H47" s="24" t="s">
        <v>145</v>
      </c>
      <c r="I47" s="4"/>
      <c r="J47" s="4"/>
      <c r="K47" s="4"/>
      <c r="L47" s="3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</row>
    <row r="48" spans="1:34" ht="12.75" customHeight="1" x14ac:dyDescent="0.25">
      <c r="A48" s="4"/>
      <c r="B48" s="4"/>
      <c r="C48" s="4"/>
      <c r="D48" s="4"/>
      <c r="E48" s="5"/>
      <c r="F48" s="5"/>
      <c r="G48" s="7"/>
      <c r="H48" s="24" t="s">
        <v>35</v>
      </c>
      <c r="I48" s="4"/>
      <c r="J48" s="4"/>
      <c r="K48" s="4"/>
      <c r="L48" s="31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</row>
    <row r="49" spans="1:34" ht="12.75" customHeight="1" x14ac:dyDescent="0.25">
      <c r="A49" s="4"/>
      <c r="B49" s="4"/>
      <c r="C49" s="4"/>
      <c r="D49" s="4"/>
      <c r="E49" s="5"/>
      <c r="F49" s="5"/>
      <c r="G49" s="7"/>
      <c r="H49" s="24" t="s">
        <v>26</v>
      </c>
      <c r="I49" s="4"/>
      <c r="J49" s="4"/>
      <c r="K49" s="4"/>
      <c r="L49" s="3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</row>
    <row r="50" spans="1:34" s="40" customFormat="1" ht="12.75" customHeight="1" x14ac:dyDescent="0.25">
      <c r="A50" s="4"/>
      <c r="B50" s="4"/>
      <c r="C50" s="4"/>
      <c r="D50" s="4"/>
      <c r="E50" s="5"/>
      <c r="F50" s="5"/>
      <c r="G50" s="7"/>
      <c r="H50" s="24" t="s">
        <v>50</v>
      </c>
      <c r="I50" s="4"/>
      <c r="J50" s="4"/>
      <c r="K50" s="4"/>
      <c r="L50" s="3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1:34" s="40" customFormat="1" ht="12.75" customHeight="1" x14ac:dyDescent="0.25">
      <c r="A51" s="4"/>
      <c r="B51" s="4"/>
      <c r="C51" s="4"/>
      <c r="D51" s="4"/>
      <c r="E51" s="5"/>
      <c r="F51" s="5"/>
      <c r="G51" s="7"/>
      <c r="H51" s="24" t="s">
        <v>21</v>
      </c>
      <c r="I51" s="4"/>
      <c r="J51" s="4"/>
      <c r="K51" s="4"/>
      <c r="L51" s="3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1:34" s="40" customFormat="1" ht="12.75" customHeight="1" x14ac:dyDescent="0.25">
      <c r="A52" s="4"/>
      <c r="B52" s="4"/>
      <c r="C52" s="4"/>
      <c r="D52" s="4"/>
      <c r="E52" s="5"/>
      <c r="F52" s="5"/>
      <c r="G52" s="7"/>
      <c r="H52" s="24" t="s">
        <v>23</v>
      </c>
      <c r="I52" s="4"/>
      <c r="J52" s="4"/>
      <c r="K52" s="4"/>
      <c r="L52" s="3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1:34" s="40" customFormat="1" ht="12.75" customHeight="1" x14ac:dyDescent="0.25">
      <c r="A53" s="4"/>
      <c r="B53" s="4"/>
      <c r="C53" s="4"/>
      <c r="D53" s="4"/>
      <c r="E53" s="5"/>
      <c r="F53" s="5"/>
      <c r="G53" s="7"/>
      <c r="H53" s="24" t="s">
        <v>24</v>
      </c>
      <c r="I53" s="4"/>
      <c r="J53" s="4"/>
      <c r="K53" s="4"/>
      <c r="L53" s="3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1:34" s="40" customFormat="1" ht="12.75" customHeight="1" x14ac:dyDescent="0.25">
      <c r="A54" s="4"/>
      <c r="B54" s="4"/>
      <c r="C54" s="4"/>
      <c r="D54" s="4"/>
      <c r="E54" s="5"/>
      <c r="F54" s="5"/>
      <c r="G54" s="7"/>
      <c r="H54" s="24" t="s">
        <v>20</v>
      </c>
      <c r="I54" s="4"/>
      <c r="J54" s="4"/>
      <c r="K54" s="4"/>
      <c r="L54" s="3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1:34" s="40" customFormat="1" ht="12.75" customHeight="1" x14ac:dyDescent="0.25">
      <c r="A55" s="4"/>
      <c r="B55" s="4"/>
      <c r="C55" s="4"/>
      <c r="D55" s="4"/>
      <c r="E55" s="5"/>
      <c r="F55" s="5"/>
      <c r="G55" s="7"/>
      <c r="H55" s="24" t="s">
        <v>74</v>
      </c>
      <c r="I55" s="4"/>
      <c r="J55" s="4"/>
      <c r="K55" s="4"/>
      <c r="L55" s="3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1:34" s="40" customFormat="1" ht="12.75" customHeight="1" x14ac:dyDescent="0.25">
      <c r="A56" s="4"/>
      <c r="B56" s="4"/>
      <c r="C56" s="4"/>
      <c r="D56" s="4"/>
      <c r="E56" s="5"/>
      <c r="F56" s="5"/>
      <c r="G56" s="7"/>
      <c r="H56" s="24" t="s">
        <v>161</v>
      </c>
      <c r="I56" s="4"/>
      <c r="J56" s="4"/>
      <c r="K56" s="4"/>
      <c r="L56" s="3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1:34" s="40" customFormat="1" ht="13.5" customHeight="1" x14ac:dyDescent="0.25">
      <c r="A57" s="4"/>
      <c r="B57" s="4"/>
      <c r="C57" s="4"/>
      <c r="D57" s="4"/>
      <c r="E57" s="5"/>
      <c r="F57" s="5"/>
      <c r="G57" s="7"/>
      <c r="H57" s="24" t="s">
        <v>76</v>
      </c>
      <c r="I57" s="4"/>
      <c r="J57" s="4"/>
      <c r="K57" s="4"/>
      <c r="L57" s="3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1:34" ht="13.5" customHeight="1" x14ac:dyDescent="0.25">
      <c r="A58" s="4"/>
      <c r="B58" s="4"/>
      <c r="C58" s="4"/>
      <c r="D58" s="4"/>
      <c r="E58" s="5"/>
      <c r="F58" s="5"/>
      <c r="G58" s="7"/>
      <c r="H58" s="24" t="s">
        <v>97</v>
      </c>
      <c r="I58" s="4"/>
      <c r="J58" s="4"/>
      <c r="K58" s="4"/>
      <c r="L58" s="3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1:34" ht="13.5" customHeight="1" x14ac:dyDescent="0.25">
      <c r="E59" s="5"/>
      <c r="F59" s="5"/>
      <c r="G59" s="7"/>
      <c r="H59" s="24" t="s">
        <v>94</v>
      </c>
      <c r="I59" s="4"/>
      <c r="J59" s="4"/>
      <c r="K59" s="4"/>
      <c r="L59" s="3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1:34" ht="13.5" customHeight="1" x14ac:dyDescent="0.25">
      <c r="E60" s="5"/>
      <c r="F60" s="5"/>
      <c r="G60" s="7"/>
      <c r="H60" s="24" t="s">
        <v>93</v>
      </c>
      <c r="I60" s="4"/>
      <c r="J60" s="4"/>
      <c r="K60" s="4"/>
      <c r="L60" s="3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1:34" ht="13.5" customHeight="1" x14ac:dyDescent="0.25">
      <c r="E61" s="5"/>
      <c r="F61" s="5"/>
      <c r="G61" s="7"/>
      <c r="H61" s="24" t="s">
        <v>92</v>
      </c>
      <c r="I61" s="4"/>
      <c r="J61" s="4"/>
      <c r="K61" s="4"/>
      <c r="L61" s="3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1:34" ht="13.5" customHeight="1" x14ac:dyDescent="0.25">
      <c r="E62" s="5"/>
      <c r="F62" s="5"/>
      <c r="G62" s="7"/>
      <c r="H62" s="24" t="s">
        <v>77</v>
      </c>
      <c r="I62" s="4"/>
      <c r="J62" s="4"/>
      <c r="K62" s="4"/>
      <c r="L62" s="3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1:34" ht="13.5" customHeight="1" x14ac:dyDescent="0.25">
      <c r="E63" s="5"/>
      <c r="F63" s="5"/>
      <c r="G63" s="7"/>
      <c r="H63" s="24" t="s">
        <v>124</v>
      </c>
      <c r="I63" s="4"/>
      <c r="J63" s="4"/>
      <c r="K63" s="4"/>
      <c r="L63" s="3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1:34" ht="13.5" customHeight="1" x14ac:dyDescent="0.25">
      <c r="E64" s="5"/>
      <c r="F64" s="5"/>
      <c r="G64" s="7"/>
      <c r="H64" s="24" t="s">
        <v>19</v>
      </c>
      <c r="I64" s="4"/>
      <c r="J64" s="4"/>
      <c r="K64" s="4"/>
      <c r="L64" s="3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5:34" ht="13.5" customHeight="1" x14ac:dyDescent="0.25">
      <c r="E65" s="5"/>
      <c r="F65" s="5"/>
      <c r="G65" s="7"/>
      <c r="H65" s="24" t="s">
        <v>112</v>
      </c>
      <c r="I65" s="4"/>
      <c r="J65" s="4"/>
      <c r="K65" s="4"/>
      <c r="L65" s="3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5:34" ht="13.5" customHeight="1" x14ac:dyDescent="0.25">
      <c r="E66" s="5"/>
      <c r="F66" s="5"/>
      <c r="G66" s="7"/>
      <c r="H66" s="24" t="s">
        <v>22</v>
      </c>
      <c r="I66" s="4"/>
      <c r="J66" s="4"/>
      <c r="K66" s="4"/>
      <c r="L66" s="3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5:34" ht="13.5" customHeight="1" x14ac:dyDescent="0.25">
      <c r="E67" s="5"/>
      <c r="F67" s="5"/>
      <c r="G67" s="7"/>
      <c r="H67" s="24" t="s">
        <v>70</v>
      </c>
      <c r="I67" s="4"/>
      <c r="J67" s="4"/>
      <c r="K67" s="4"/>
      <c r="L67" s="3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5:34" ht="13.5" customHeight="1" x14ac:dyDescent="0.25">
      <c r="E68" s="5"/>
      <c r="F68" s="5"/>
      <c r="G68" s="7"/>
      <c r="H68" s="24" t="s">
        <v>78</v>
      </c>
      <c r="I68" s="4"/>
      <c r="J68" s="4"/>
      <c r="K68" s="4"/>
      <c r="L68" s="3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5:34" ht="13.5" customHeight="1" x14ac:dyDescent="0.25">
      <c r="E69" s="5"/>
      <c r="F69" s="5"/>
      <c r="G69" s="7"/>
      <c r="H69" s="24" t="s">
        <v>119</v>
      </c>
      <c r="I69" s="4"/>
      <c r="J69" s="4"/>
      <c r="K69" s="4"/>
      <c r="L69" s="3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5:34" ht="13.5" customHeight="1" x14ac:dyDescent="0.25">
      <c r="E70" s="5"/>
      <c r="F70" s="5"/>
      <c r="G70" s="7"/>
      <c r="H70" s="24" t="s">
        <v>127</v>
      </c>
      <c r="I70" s="4"/>
      <c r="J70" s="4"/>
      <c r="K70" s="4"/>
      <c r="L70" s="3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5:34" ht="13.5" customHeight="1" x14ac:dyDescent="0.25">
      <c r="E71" s="5"/>
      <c r="F71" s="5"/>
      <c r="G71" s="7"/>
      <c r="H71" s="24" t="s">
        <v>111</v>
      </c>
      <c r="I71" s="4"/>
      <c r="J71" s="4"/>
      <c r="K71" s="4"/>
      <c r="L71" s="3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5:34" ht="13.5" customHeight="1" x14ac:dyDescent="0.25">
      <c r="E72" s="5"/>
      <c r="F72" s="5"/>
      <c r="G72" s="7"/>
      <c r="H72" s="24" t="s">
        <v>83</v>
      </c>
      <c r="I72" s="4"/>
      <c r="J72" s="4"/>
      <c r="K72" s="4"/>
      <c r="L72" s="3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5:34" ht="13.5" customHeight="1" x14ac:dyDescent="0.25">
      <c r="E73" s="5"/>
      <c r="F73" s="5"/>
      <c r="G73" s="7"/>
      <c r="H73" s="24" t="s">
        <v>82</v>
      </c>
      <c r="I73" s="4"/>
      <c r="J73" s="4"/>
      <c r="K73" s="4"/>
      <c r="L73" s="3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5:34" ht="13.5" customHeight="1" x14ac:dyDescent="0.25">
      <c r="E74" s="5"/>
      <c r="F74" s="5"/>
      <c r="G74" s="7"/>
      <c r="H74" s="24" t="s">
        <v>121</v>
      </c>
      <c r="I74" s="4"/>
      <c r="J74" s="4"/>
      <c r="K74" s="4"/>
      <c r="L74" s="3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5:34" ht="13.5" customHeight="1" x14ac:dyDescent="0.25">
      <c r="E75" s="5"/>
      <c r="F75" s="5"/>
      <c r="G75" s="7"/>
      <c r="H75" s="24" t="s">
        <v>150</v>
      </c>
      <c r="I75" s="4"/>
      <c r="J75" s="4"/>
      <c r="K75" s="4"/>
      <c r="L75" s="3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5:34" ht="13.5" customHeight="1" x14ac:dyDescent="0.25">
      <c r="E76" s="5"/>
      <c r="F76" s="5"/>
      <c r="G76" s="7"/>
      <c r="H76" s="24" t="s">
        <v>108</v>
      </c>
      <c r="I76" s="4"/>
      <c r="J76" s="4"/>
      <c r="K76" s="4"/>
      <c r="L76" s="3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5:34" ht="13.5" customHeight="1" x14ac:dyDescent="0.25">
      <c r="E77" s="5"/>
      <c r="F77" s="5"/>
      <c r="G77" s="7"/>
      <c r="H77" s="24" t="s">
        <v>125</v>
      </c>
      <c r="I77" s="4"/>
      <c r="J77" s="4"/>
      <c r="K77" s="4"/>
      <c r="L77" s="3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5:34" ht="13.5" customHeight="1" x14ac:dyDescent="0.25">
      <c r="E78" s="5"/>
      <c r="F78" s="5"/>
      <c r="G78" s="7"/>
      <c r="H78" s="24" t="s">
        <v>162</v>
      </c>
      <c r="I78" s="4"/>
      <c r="J78" s="4"/>
      <c r="K78" s="4"/>
      <c r="L78" s="3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5:34" ht="13.5" customHeight="1" x14ac:dyDescent="0.25">
      <c r="E79" s="5"/>
      <c r="F79" s="5"/>
      <c r="G79" s="7"/>
      <c r="H79" s="24" t="s">
        <v>120</v>
      </c>
      <c r="I79" s="4"/>
      <c r="J79" s="4"/>
      <c r="K79" s="4"/>
      <c r="L79" s="3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5:34" ht="13.5" customHeight="1" x14ac:dyDescent="0.25">
      <c r="E80" s="5"/>
      <c r="F80" s="5"/>
      <c r="G80" s="7"/>
      <c r="H80" s="24" t="s">
        <v>140</v>
      </c>
      <c r="I80" s="4"/>
      <c r="J80" s="4"/>
      <c r="K80" s="4"/>
      <c r="L80" s="3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5:34" ht="13.5" customHeight="1" x14ac:dyDescent="0.25">
      <c r="E81" s="5"/>
      <c r="F81" s="5"/>
      <c r="G81" s="7"/>
      <c r="H81" s="24"/>
      <c r="I81" s="4"/>
      <c r="J81" s="4"/>
      <c r="K81" s="4"/>
      <c r="L81" s="3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5:34" ht="13.5" customHeight="1" x14ac:dyDescent="0.25">
      <c r="E82" s="5"/>
      <c r="F82" s="5"/>
      <c r="G82" s="7"/>
      <c r="H82" s="24"/>
      <c r="I82" s="4"/>
      <c r="J82" s="4"/>
      <c r="K82" s="4"/>
      <c r="L82" s="3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5:34" ht="13.5" customHeight="1" x14ac:dyDescent="0.25">
      <c r="E83" s="5"/>
      <c r="F83" s="5"/>
      <c r="G83" s="7"/>
      <c r="H83" s="24"/>
      <c r="I83" s="4"/>
      <c r="J83" s="4"/>
      <c r="K83" s="4"/>
      <c r="L83" s="3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5:34" ht="13.5" customHeight="1" x14ac:dyDescent="0.25">
      <c r="E84" s="5"/>
      <c r="F84" s="5"/>
      <c r="G84" s="7"/>
      <c r="H84" s="24"/>
      <c r="I84" s="4"/>
      <c r="J84" s="4"/>
      <c r="K84" s="4"/>
      <c r="L84" s="3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5:34" ht="13.5" customHeight="1" x14ac:dyDescent="0.25">
      <c r="E85" s="5"/>
      <c r="F85" s="5"/>
      <c r="G85" s="7"/>
      <c r="H85" s="24"/>
      <c r="I85" s="4"/>
      <c r="J85" s="4"/>
      <c r="K85" s="4"/>
      <c r="L85" s="3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5:34" ht="13.5" customHeight="1" x14ac:dyDescent="0.25">
      <c r="E86" s="5"/>
      <c r="F86" s="5"/>
      <c r="G86" s="7"/>
      <c r="H86" s="24"/>
      <c r="I86" s="4"/>
      <c r="J86" s="4"/>
      <c r="K86" s="4"/>
      <c r="L86" s="3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5:34" ht="13.5" customHeight="1" x14ac:dyDescent="0.25">
      <c r="E87" s="5"/>
      <c r="F87" s="5"/>
      <c r="G87" s="7"/>
      <c r="H87" s="24"/>
      <c r="I87" s="4"/>
      <c r="J87" s="4"/>
      <c r="K87" s="4"/>
      <c r="L87" s="3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5:34" ht="13.5" customHeight="1" x14ac:dyDescent="0.25">
      <c r="E88" s="5"/>
      <c r="F88" s="5"/>
      <c r="G88" s="7"/>
      <c r="H88" s="24"/>
      <c r="I88" s="4"/>
      <c r="J88" s="4"/>
      <c r="K88" s="4"/>
      <c r="L88" s="3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5:34" ht="13.5" customHeight="1" x14ac:dyDescent="0.25">
      <c r="E89" s="5"/>
      <c r="F89" s="5"/>
      <c r="G89" s="7"/>
      <c r="H89" s="24"/>
      <c r="I89" s="4"/>
      <c r="J89" s="4"/>
      <c r="K89" s="4"/>
      <c r="L89" s="3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5:34" ht="13.5" customHeight="1" x14ac:dyDescent="0.25">
      <c r="E90" s="5"/>
      <c r="F90" s="5"/>
      <c r="G90" s="7"/>
      <c r="H90" s="24"/>
      <c r="I90" s="4"/>
      <c r="J90" s="4"/>
      <c r="K90" s="4"/>
      <c r="L90" s="3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5:34" ht="13.5" customHeight="1" x14ac:dyDescent="0.25">
      <c r="E91" s="5"/>
      <c r="F91" s="5"/>
      <c r="G91" s="7"/>
      <c r="H91" s="24"/>
      <c r="I91" s="4"/>
      <c r="J91" s="4"/>
      <c r="K91" s="4"/>
      <c r="L91" s="3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5:34" ht="13.5" customHeight="1" x14ac:dyDescent="0.25">
      <c r="E92" s="5"/>
      <c r="F92" s="5"/>
      <c r="G92" s="7"/>
      <c r="H92" s="24"/>
      <c r="I92" s="4"/>
      <c r="J92" s="4"/>
      <c r="K92" s="4"/>
      <c r="L92" s="3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5:34" ht="13.5" customHeight="1" x14ac:dyDescent="0.25">
      <c r="E93" s="5"/>
      <c r="F93" s="5"/>
      <c r="G93" s="7"/>
      <c r="H93" s="24"/>
      <c r="I93" s="4"/>
      <c r="J93" s="4"/>
      <c r="K93" s="4"/>
      <c r="L93" s="3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5:34" ht="13.5" customHeight="1" x14ac:dyDescent="0.25">
      <c r="E94" s="5"/>
      <c r="F94" s="5"/>
      <c r="G94" s="7"/>
      <c r="H94" s="24"/>
      <c r="I94" s="4"/>
      <c r="J94" s="4"/>
      <c r="K94" s="4"/>
      <c r="L94" s="3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5:34" ht="13.5" customHeight="1" x14ac:dyDescent="0.25">
      <c r="E95" s="5"/>
      <c r="F95" s="5"/>
      <c r="G95" s="7"/>
      <c r="H95" s="24"/>
      <c r="I95" s="4"/>
      <c r="J95" s="4"/>
      <c r="K95" s="4"/>
      <c r="L95" s="3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5:34" ht="13.5" customHeight="1" x14ac:dyDescent="0.25">
      <c r="E96" s="5"/>
      <c r="F96" s="5"/>
      <c r="G96" s="7"/>
      <c r="H96" s="24"/>
      <c r="I96" s="4"/>
      <c r="J96" s="4"/>
      <c r="K96" s="4"/>
      <c r="L96" s="3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5:34" ht="13.5" customHeight="1" x14ac:dyDescent="0.25">
      <c r="E97" s="5"/>
      <c r="F97" s="5"/>
      <c r="G97" s="7"/>
      <c r="H97" s="24"/>
      <c r="I97" s="4"/>
      <c r="J97" s="4"/>
      <c r="K97" s="4"/>
      <c r="L97" s="3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5:34" ht="13.5" customHeight="1" x14ac:dyDescent="0.25">
      <c r="E98" s="5"/>
      <c r="F98" s="5"/>
      <c r="G98" s="7"/>
      <c r="H98" s="24"/>
      <c r="I98" s="4"/>
      <c r="J98" s="4"/>
      <c r="K98" s="4"/>
      <c r="L98" s="3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5:34" ht="13.5" customHeight="1" x14ac:dyDescent="0.25">
      <c r="E99" s="5"/>
      <c r="F99" s="5"/>
      <c r="G99" s="7"/>
      <c r="H99" s="24"/>
      <c r="I99" s="4"/>
      <c r="J99" s="4"/>
      <c r="K99" s="4"/>
      <c r="L99" s="3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5:34" ht="13.5" customHeight="1" x14ac:dyDescent="0.25">
      <c r="E100" s="5"/>
      <c r="F100" s="5"/>
      <c r="G100" s="7"/>
      <c r="H100" s="24"/>
      <c r="I100" s="4"/>
      <c r="J100" s="4"/>
      <c r="K100" s="4"/>
      <c r="L100" s="3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5:34" ht="13.5" customHeight="1" x14ac:dyDescent="0.25">
      <c r="E101" s="5"/>
      <c r="F101" s="5"/>
      <c r="G101" s="7"/>
      <c r="H101" s="24"/>
      <c r="I101" s="4"/>
      <c r="J101" s="4"/>
      <c r="K101" s="4"/>
      <c r="L101" s="3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5:34" ht="13.5" customHeight="1" x14ac:dyDescent="0.25">
      <c r="E102" s="5"/>
      <c r="F102" s="5"/>
      <c r="G102" s="7"/>
      <c r="H102" s="24"/>
      <c r="I102" s="4"/>
      <c r="J102" s="4"/>
      <c r="K102" s="4"/>
      <c r="L102" s="3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5:34" ht="13.5" customHeight="1" x14ac:dyDescent="0.25">
      <c r="E103" s="5"/>
      <c r="F103" s="5"/>
      <c r="G103" s="7"/>
      <c r="H103" s="24"/>
      <c r="I103" s="4"/>
      <c r="J103" s="4"/>
      <c r="K103" s="4"/>
      <c r="L103" s="3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5:34" ht="13.5" customHeight="1" x14ac:dyDescent="0.25">
      <c r="E104" s="5"/>
      <c r="F104" s="5"/>
      <c r="G104" s="7"/>
      <c r="H104" s="24"/>
      <c r="I104" s="4"/>
      <c r="J104" s="4"/>
      <c r="K104" s="4"/>
      <c r="L104" s="3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5:34" ht="13.5" customHeight="1" x14ac:dyDescent="0.25">
      <c r="E105" s="5"/>
      <c r="F105" s="5"/>
      <c r="G105" s="7"/>
      <c r="H105" s="24"/>
      <c r="I105" s="4"/>
      <c r="J105" s="4"/>
      <c r="K105" s="4"/>
      <c r="L105" s="3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5:34" ht="13.5" customHeight="1" x14ac:dyDescent="0.25">
      <c r="E106" s="5"/>
      <c r="F106" s="5"/>
      <c r="G106" s="7"/>
      <c r="H106" s="24"/>
      <c r="I106" s="4"/>
      <c r="J106" s="4"/>
      <c r="K106" s="4"/>
      <c r="L106" s="3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5:34" ht="13.5" customHeight="1" x14ac:dyDescent="0.25">
      <c r="E107" s="5"/>
      <c r="F107" s="5"/>
      <c r="G107" s="7"/>
      <c r="H107" s="24"/>
      <c r="I107" s="4"/>
      <c r="J107" s="4"/>
      <c r="K107" s="4"/>
      <c r="L107" s="3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5:34" ht="13.5" customHeight="1" x14ac:dyDescent="0.25">
      <c r="E108" s="5"/>
      <c r="F108" s="5"/>
      <c r="G108" s="7"/>
      <c r="H108" s="24"/>
      <c r="I108" s="4"/>
      <c r="J108" s="4"/>
      <c r="K108" s="4"/>
      <c r="L108" s="3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5:34" ht="13.5" customHeight="1" x14ac:dyDescent="0.25">
      <c r="E109" s="5"/>
      <c r="F109" s="5"/>
      <c r="G109" s="7"/>
      <c r="H109" s="24"/>
      <c r="I109" s="4"/>
      <c r="J109" s="4"/>
      <c r="K109" s="4"/>
      <c r="L109" s="3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5:34" ht="13.5" customHeight="1" x14ac:dyDescent="0.25">
      <c r="E110" s="5"/>
      <c r="F110" s="5"/>
      <c r="G110" s="7"/>
      <c r="H110" s="24"/>
      <c r="I110" s="4"/>
      <c r="J110" s="4"/>
      <c r="K110" s="4"/>
      <c r="L110" s="3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5:34" ht="13.5" customHeight="1" x14ac:dyDescent="0.25">
      <c r="E111" s="5"/>
      <c r="F111" s="5"/>
      <c r="G111" s="7"/>
      <c r="H111" s="24"/>
      <c r="I111" s="4"/>
      <c r="J111" s="4"/>
      <c r="K111" s="4"/>
      <c r="L111" s="3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5:34" ht="13.5" customHeight="1" x14ac:dyDescent="0.25">
      <c r="E112" s="5"/>
      <c r="F112" s="5"/>
      <c r="G112" s="7"/>
      <c r="H112" s="24"/>
      <c r="I112" s="4"/>
      <c r="J112" s="4"/>
      <c r="K112" s="4"/>
      <c r="L112" s="3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5:34" ht="13.5" customHeight="1" x14ac:dyDescent="0.25">
      <c r="E113" s="5"/>
      <c r="F113" s="5"/>
      <c r="G113" s="7"/>
      <c r="H113" s="24"/>
      <c r="I113" s="4"/>
      <c r="J113" s="4"/>
      <c r="K113" s="4"/>
      <c r="L113" s="3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5:34" ht="13.5" customHeight="1" x14ac:dyDescent="0.25">
      <c r="E114" s="5"/>
      <c r="F114" s="5"/>
      <c r="G114" s="7"/>
      <c r="H114" s="24"/>
      <c r="I114" s="4"/>
      <c r="J114" s="4"/>
      <c r="K114" s="4"/>
      <c r="L114" s="3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5:34" ht="13.5" customHeight="1" x14ac:dyDescent="0.25">
      <c r="E115" s="5"/>
      <c r="F115" s="5"/>
      <c r="G115" s="7"/>
      <c r="H115" s="24"/>
      <c r="I115" s="4"/>
      <c r="J115" s="4"/>
      <c r="K115" s="4"/>
      <c r="L115" s="3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5:34" ht="13.5" customHeight="1" x14ac:dyDescent="0.25">
      <c r="E116" s="5"/>
      <c r="F116" s="5"/>
      <c r="G116" s="7"/>
      <c r="H116" s="24"/>
      <c r="I116" s="4"/>
      <c r="J116" s="4"/>
      <c r="K116" s="4"/>
      <c r="L116" s="3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5:34" ht="13.5" customHeight="1" x14ac:dyDescent="0.25">
      <c r="E117" s="5"/>
      <c r="F117" s="5"/>
      <c r="G117" s="7"/>
      <c r="H117" s="24"/>
      <c r="I117" s="4"/>
      <c r="J117" s="4"/>
      <c r="K117" s="4"/>
      <c r="L117" s="3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5:34" ht="13.5" customHeight="1" x14ac:dyDescent="0.25">
      <c r="E118" s="5"/>
      <c r="F118" s="5"/>
      <c r="G118" s="7"/>
      <c r="H118" s="24"/>
      <c r="I118" s="4"/>
      <c r="J118" s="4"/>
      <c r="K118" s="4"/>
      <c r="L118" s="3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5:34" ht="13.5" customHeight="1" x14ac:dyDescent="0.25">
      <c r="E119" s="5"/>
      <c r="F119" s="5"/>
      <c r="G119" s="7"/>
      <c r="H119" s="24"/>
      <c r="I119" s="4"/>
      <c r="J119" s="4"/>
      <c r="K119" s="4"/>
      <c r="L119" s="3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5:34" ht="13.5" customHeight="1" x14ac:dyDescent="0.25">
      <c r="E120" s="5"/>
      <c r="F120" s="5"/>
      <c r="G120" s="7"/>
      <c r="H120" s="24"/>
      <c r="I120" s="4"/>
      <c r="J120" s="4"/>
      <c r="K120" s="4"/>
      <c r="L120" s="3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5:34" ht="13.5" customHeight="1" x14ac:dyDescent="0.25">
      <c r="E121" s="5"/>
      <c r="F121" s="5"/>
      <c r="G121" s="7"/>
      <c r="H121" s="24"/>
      <c r="I121" s="4"/>
      <c r="J121" s="4"/>
      <c r="K121" s="4"/>
      <c r="L121" s="3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5:34" ht="13.5" customHeight="1" x14ac:dyDescent="0.25">
      <c r="E122" s="5"/>
      <c r="F122" s="5"/>
      <c r="G122" s="7"/>
      <c r="H122" s="24"/>
      <c r="I122" s="4"/>
      <c r="J122" s="4"/>
      <c r="K122" s="4"/>
      <c r="L122" s="3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5:34" ht="13.5" customHeight="1" x14ac:dyDescent="0.25">
      <c r="E123" s="5"/>
      <c r="F123" s="5"/>
      <c r="G123" s="7"/>
      <c r="H123" s="24"/>
      <c r="I123" s="4"/>
      <c r="J123" s="4"/>
      <c r="K123" s="4"/>
      <c r="L123" s="3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5:34" ht="13.5" customHeight="1" x14ac:dyDescent="0.25">
      <c r="E124" s="5"/>
      <c r="F124" s="5"/>
      <c r="G124" s="7"/>
      <c r="H124" s="24"/>
      <c r="I124" s="4"/>
      <c r="J124" s="4"/>
      <c r="K124" s="4"/>
      <c r="L124" s="3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5:34" ht="13.5" customHeight="1" x14ac:dyDescent="0.25">
      <c r="E125" s="5"/>
      <c r="F125" s="5"/>
      <c r="G125" s="7"/>
      <c r="H125" s="24"/>
      <c r="I125" s="4"/>
      <c r="J125" s="4"/>
      <c r="K125" s="4"/>
      <c r="L125" s="3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5:34" ht="13.5" customHeight="1" x14ac:dyDescent="0.25">
      <c r="E126" s="5"/>
      <c r="F126" s="5"/>
      <c r="G126" s="7"/>
      <c r="H126" s="24"/>
      <c r="I126" s="4"/>
      <c r="J126" s="4"/>
      <c r="K126" s="4"/>
      <c r="L126" s="3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5:34" ht="13.5" customHeight="1" x14ac:dyDescent="0.25">
      <c r="E127" s="5"/>
      <c r="F127" s="5"/>
      <c r="G127" s="7"/>
      <c r="H127" s="24"/>
      <c r="I127" s="4"/>
      <c r="J127" s="4"/>
      <c r="K127" s="4"/>
      <c r="L127" s="3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5:34" ht="13.5" customHeight="1" x14ac:dyDescent="0.25">
      <c r="E128" s="5"/>
      <c r="F128" s="5"/>
      <c r="G128" s="7"/>
      <c r="H128" s="24"/>
      <c r="I128" s="4"/>
      <c r="J128" s="4"/>
      <c r="K128" s="4"/>
      <c r="L128" s="3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5:34" ht="13.5" customHeight="1" x14ac:dyDescent="0.25">
      <c r="E129" s="5"/>
      <c r="F129" s="5"/>
      <c r="G129" s="7"/>
      <c r="H129" s="24"/>
      <c r="I129" s="4"/>
      <c r="J129" s="4"/>
      <c r="K129" s="4"/>
      <c r="L129" s="3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5:34" ht="13.5" customHeight="1" x14ac:dyDescent="0.25"/>
    <row r="131" spans="5:34" ht="13.5" customHeight="1" x14ac:dyDescent="0.25"/>
    <row r="132" spans="5:34" ht="13.5" customHeight="1" x14ac:dyDescent="0.25"/>
    <row r="133" spans="5:34" ht="13.5" customHeight="1" x14ac:dyDescent="0.25"/>
    <row r="134" spans="5:34" ht="13.5" customHeight="1" x14ac:dyDescent="0.25"/>
    <row r="135" spans="5:34" ht="13.5" customHeight="1" x14ac:dyDescent="0.25"/>
    <row r="136" spans="5:34" ht="13.5" customHeight="1" x14ac:dyDescent="0.25"/>
    <row r="137" spans="5:34" ht="13.5" customHeight="1" x14ac:dyDescent="0.25"/>
  </sheetData>
  <sortState xmlns:xlrd2="http://schemas.microsoft.com/office/spreadsheetml/2017/richdata2" ref="H11:H100">
    <sortCondition ref="H11"/>
  </sortState>
  <dataConsolidate/>
  <conditionalFormatting sqref="M11:X11">
    <cfRule type="cellIs" dxfId="12" priority="17" operator="equal">
      <formula>$J$7</formula>
    </cfRule>
  </conditionalFormatting>
  <conditionalFormatting sqref="Y11">
    <cfRule type="cellIs" dxfId="11" priority="13" operator="equal">
      <formula>$J$7</formula>
    </cfRule>
  </conditionalFormatting>
  <conditionalFormatting sqref="Z11">
    <cfRule type="cellIs" dxfId="10" priority="12" operator="equal">
      <formula>$J$7</formula>
    </cfRule>
  </conditionalFormatting>
  <conditionalFormatting sqref="AA11">
    <cfRule type="cellIs" dxfId="9" priority="11" operator="equal">
      <formula>$J$7</formula>
    </cfRule>
  </conditionalFormatting>
  <conditionalFormatting sqref="AB11">
    <cfRule type="cellIs" dxfId="8" priority="10" operator="equal">
      <formula>$J$7</formula>
    </cfRule>
  </conditionalFormatting>
  <conditionalFormatting sqref="AC11">
    <cfRule type="cellIs" dxfId="7" priority="9" operator="equal">
      <formula>$J$7</formula>
    </cfRule>
  </conditionalFormatting>
  <conditionalFormatting sqref="AD11">
    <cfRule type="cellIs" dxfId="6" priority="8" operator="equal">
      <formula>$J$7</formula>
    </cfRule>
  </conditionalFormatting>
  <conditionalFormatting sqref="AE11">
    <cfRule type="cellIs" dxfId="5" priority="7" operator="equal">
      <formula>$J$7</formula>
    </cfRule>
  </conditionalFormatting>
  <conditionalFormatting sqref="AF11">
    <cfRule type="cellIs" dxfId="4" priority="6" operator="equal">
      <formula>$J$7</formula>
    </cfRule>
  </conditionalFormatting>
  <conditionalFormatting sqref="AG11">
    <cfRule type="cellIs" dxfId="3" priority="4" operator="equal">
      <formula>$J$7</formula>
    </cfRule>
  </conditionalFormatting>
  <conditionalFormatting sqref="AH11">
    <cfRule type="cellIs" dxfId="2" priority="3" operator="equal">
      <formula>$J$7</formula>
    </cfRule>
  </conditionalFormatting>
  <conditionalFormatting sqref="AI11">
    <cfRule type="cellIs" dxfId="1" priority="2" operator="equal">
      <formula>$J$7</formula>
    </cfRule>
  </conditionalFormatting>
  <conditionalFormatting sqref="AJ11">
    <cfRule type="cellIs" dxfId="0" priority="1" operator="equal">
      <formula>$J$7</formula>
    </cfRule>
  </conditionalFormatting>
  <hyperlinks>
    <hyperlink ref="F5" r:id="rId1" xr:uid="{00000000-0004-0000-0000-000000000000}"/>
  </hyperlinks>
  <pageMargins left="0.7" right="0.7" top="0.75" bottom="0.75" header="0.3" footer="0.3"/>
  <pageSetup paperSize="9" orientation="portrait" r:id="rId2"/>
  <headerFooter>
    <oddFooter>&amp;C_x000D_&amp;1#&amp;"Calibri"&amp;6&amp;K626469 General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7</xdr:col>
                    <xdr:colOff>19050</xdr:colOff>
                    <xdr:row>7</xdr:row>
                    <xdr:rowOff>190500</xdr:rowOff>
                  </from>
                  <to>
                    <xdr:col>9</xdr:col>
                    <xdr:colOff>1323975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AE3936964A764D89BDA2F7EA0C6A3B" ma:contentTypeVersion="14" ma:contentTypeDescription="Create a new document." ma:contentTypeScope="" ma:versionID="0fcfb64dd43cc2599a3fcb16d794c84d">
  <xsd:schema xmlns:xsd="http://www.w3.org/2001/XMLSchema" xmlns:xs="http://www.w3.org/2001/XMLSchema" xmlns:p="http://schemas.microsoft.com/office/2006/metadata/properties" xmlns:ns2="87a23f09-760c-4973-853b-5a0ee23d3afb" xmlns:ns3="48c2cbbf-0663-4b5a-9aee-113203caa3f7" targetNamespace="http://schemas.microsoft.com/office/2006/metadata/properties" ma:root="true" ma:fieldsID="a6479ce73022a1fb2700a140fe836ae3" ns2:_="" ns3:_="">
    <xsd:import namespace="87a23f09-760c-4973-853b-5a0ee23d3afb"/>
    <xsd:import namespace="48c2cbbf-0663-4b5a-9aee-113203caa3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a23f09-760c-4973-853b-5a0ee23d3a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3e82df8-f6af-445d-9b0b-5c4dfc7c59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c2cbbf-0663-4b5a-9aee-113203caa3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474b42b-5911-4a95-abe0-32d3425d49f9}" ma:internalName="TaxCatchAll" ma:showField="CatchAllData" ma:web="48c2cbbf-0663-4b5a-9aee-113203caa3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8c2cbbf-0663-4b5a-9aee-113203caa3f7" xsi:nil="true"/>
    <lcf76f155ced4ddcb4097134ff3c332f xmlns="87a23f09-760c-4973-853b-5a0ee23d3af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5D1898-4923-4849-BFEA-B0D964AD9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a23f09-760c-4973-853b-5a0ee23d3afb"/>
    <ds:schemaRef ds:uri="48c2cbbf-0663-4b5a-9aee-113203caa3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F7C4C3-D0B9-4D38-9BDB-DB6CE1BE349D}">
  <ds:schemaRefs>
    <ds:schemaRef ds:uri="http://purl.org/dc/dcmitype/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48c2cbbf-0663-4b5a-9aee-113203caa3f7"/>
    <ds:schemaRef ds:uri="http://purl.org/dc/elements/1.1/"/>
    <ds:schemaRef ds:uri="http://schemas.microsoft.com/office/infopath/2007/PartnerControls"/>
    <ds:schemaRef ds:uri="87a23f09-760c-4973-853b-5a0ee23d3afb"/>
  </ds:schemaRefs>
</ds:datastoreItem>
</file>

<file path=customXml/itemProps3.xml><?xml version="1.0" encoding="utf-8"?>
<ds:datastoreItem xmlns:ds="http://schemas.openxmlformats.org/officeDocument/2006/customXml" ds:itemID="{01ACF385-CA0A-47B9-BC75-E0BC46469D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VBS</vt:lpstr>
      <vt:lpstr>rng_BAS_List</vt:lpstr>
      <vt:lpstr>rng_BAS_MAIN</vt:lpstr>
      <vt:lpstr>rng_BAS_MAIN_List</vt:lpstr>
      <vt:lpstr>rng_BAS_SUBCODE</vt:lpstr>
      <vt:lpstr>rng_CompiledVbsName</vt:lpstr>
      <vt:lpstr>rng_CompiledVbsPath</vt:lpstr>
      <vt:lpstr>rng_VBASearch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2024-03-11T13:17:36Z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307b9fe0-ae7c-488b-bf6b-0d014138ed56</vt:lpwstr>
  </property>
  <property fmtid="{D5CDD505-2E9C-101B-9397-08002B2CF9AE}" pid="3" name="ContentTypeId">
    <vt:lpwstr>0x010100DBAE3936964A764D89BDA2F7EA0C6A3B</vt:lpwstr>
  </property>
  <property fmtid="{D5CDD505-2E9C-101B-9397-08002B2CF9AE}" pid="4" name="MSIP_Label_57443d00-af18-408c-9335-47b5de3ec9b9_Enabled">
    <vt:lpwstr>true</vt:lpwstr>
  </property>
  <property fmtid="{D5CDD505-2E9C-101B-9397-08002B2CF9AE}" pid="5" name="MSIP_Label_57443d00-af18-408c-9335-47b5de3ec9b9_SetDate">
    <vt:lpwstr>2024-03-11T10:59:27Z</vt:lpwstr>
  </property>
  <property fmtid="{D5CDD505-2E9C-101B-9397-08002B2CF9AE}" pid="6" name="MSIP_Label_57443d00-af18-408c-9335-47b5de3ec9b9_Method">
    <vt:lpwstr>Privileged</vt:lpwstr>
  </property>
  <property fmtid="{D5CDD505-2E9C-101B-9397-08002B2CF9AE}" pid="7" name="MSIP_Label_57443d00-af18-408c-9335-47b5de3ec9b9_Name">
    <vt:lpwstr>General v2</vt:lpwstr>
  </property>
  <property fmtid="{D5CDD505-2E9C-101B-9397-08002B2CF9AE}" pid="8" name="MSIP_Label_57443d00-af18-408c-9335-47b5de3ec9b9_SiteId">
    <vt:lpwstr>6e51e1ad-c54b-4b39-b598-0ffe9ae68fef</vt:lpwstr>
  </property>
  <property fmtid="{D5CDD505-2E9C-101B-9397-08002B2CF9AE}" pid="9" name="MSIP_Label_57443d00-af18-408c-9335-47b5de3ec9b9_ActionId">
    <vt:lpwstr>6de0c1d5-2f8b-4d87-946c-9c1fb8a1d51e</vt:lpwstr>
  </property>
  <property fmtid="{D5CDD505-2E9C-101B-9397-08002B2CF9AE}" pid="10" name="MSIP_Label_57443d00-af18-408c-9335-47b5de3ec9b9_ContentBits">
    <vt:lpwstr>2</vt:lpwstr>
  </property>
</Properties>
</file>